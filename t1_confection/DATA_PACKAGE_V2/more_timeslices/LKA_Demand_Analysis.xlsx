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OSTRAM_Profiles" sheetId="1" state="visible" r:id="rId3"/>
    <sheet name="2_Generation_Profiles" sheetId="2" state="visible" r:id="rId4"/>
    <sheet name="3_Hydro_Detail" sheetId="3" state="visible" r:id="rId5"/>
    <sheet name="4_Cross_Validation" sheetId="4" state="visible" r:id="rId6"/>
    <sheet name="5_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<sst xmlns="http://schemas.openxmlformats.org/spreadsheetml/2006/main" count="404" uniqueCount="206">
  <si>
    <t xml:space="preserve">SRI LANKA — RECOMMENDED OSTRAM TIMESLICE PROFILES</t>
  </si>
  <si>
    <t xml:space="preserve">Final consolidated values for model parameterisation. Source: PUCSL 15-minute dispatch data, 2023.</t>
  </si>
  <si>
    <t xml:space="preserve">Date produced</t>
  </si>
  <si>
    <t xml:space="preserve">March 2026</t>
  </si>
  <si>
    <t xml:space="preserve">Base year</t>
  </si>
  <si>
    <t xml:space="preserve">2023 (12 months of PUCSL 15-minute dispatch data)</t>
  </si>
  <si>
    <t xml:space="preserve">Data source</t>
  </si>
  <si>
    <t xml:space="preserve">PUCSL monthly Excel files (96 intervals/day × 365 days). Dynamic row detection for varying table layouts.</t>
  </si>
  <si>
    <t xml:space="preserve">Processing</t>
  </si>
  <si>
    <t xml:space="preserve">process_pucsl_spyder_v2.py → 363 daily sheets across 12 files → timeslice aggregation</t>
  </si>
  <si>
    <t xml:space="preserve">A. CAPACITY FACTORS — Recommended values for OSTRAM CapacityFactor parameter</t>
  </si>
  <si>
    <t xml:space="preserve">Green = physically validated. Yellow = solar (PUCSL MW underestimates distributed; Energy column used for allocation). Red = CF &gt; 1.0 warning.</t>
  </si>
  <si>
    <t xml:space="preserve">Timeslice</t>
  </si>
  <si>
    <t xml:space="preserve">Season</t>
  </si>
  <si>
    <t xml:space="preserve">Band</t>
  </si>
  <si>
    <t xml:space="preserve">Coal
(900 MW)</t>
  </si>
  <si>
    <t xml:space="preserve">Oil_CEB
(710 MW)</t>
  </si>
  <si>
    <t xml:space="preserve">Oil_IPP
(420 MW)</t>
  </si>
  <si>
    <t xml:space="preserve">Major_Hydro
(1384 MW)</t>
  </si>
  <si>
    <t xml:space="preserve">Wind
(128 MW)</t>
  </si>
  <si>
    <t xml:space="preserve">Solar
(200 MW)</t>
  </si>
  <si>
    <t xml:space="preserve">Biomass
(30 MW)</t>
  </si>
  <si>
    <t xml:space="preserve">Mini_Hydro
(415 MW)</t>
  </si>
  <si>
    <t xml:space="preserve">Source</t>
  </si>
  <si>
    <t xml:space="preserve">S1D1</t>
  </si>
  <si>
    <t xml:space="preserve">Winter (Dec-Feb)</t>
  </si>
  <si>
    <t xml:space="preserve">Night (00-06)</t>
  </si>
  <si>
    <t xml:space="preserve">PUCSL 15-min dispatch 2023</t>
  </si>
  <si>
    <t xml:space="preserve">S1D2</t>
  </si>
  <si>
    <t xml:space="preserve">Day (06-18)</t>
  </si>
  <si>
    <t xml:space="preserve">S1D3</t>
  </si>
  <si>
    <t xml:space="preserve">Evening (18-24)</t>
  </si>
  <si>
    <t xml:space="preserve">S2D1</t>
  </si>
  <si>
    <t xml:space="preserve">Pre-monsoon (Mar-May)</t>
  </si>
  <si>
    <t xml:space="preserve">S2D2</t>
  </si>
  <si>
    <t xml:space="preserve">S2D3</t>
  </si>
  <si>
    <t xml:space="preserve">S3D1</t>
  </si>
  <si>
    <t xml:space="preserve">SW Monsoon (Jun-Sep)</t>
  </si>
  <si>
    <t xml:space="preserve">S3D2</t>
  </si>
  <si>
    <t xml:space="preserve">S3D3</t>
  </si>
  <si>
    <t xml:space="preserve">S4D1</t>
  </si>
  <si>
    <t xml:space="preserve">Post-monsoon (Oct-Nov)</t>
  </si>
  <si>
    <t xml:space="preserve">S4D2</t>
  </si>
  <si>
    <t xml:space="preserve">S4D3</t>
  </si>
  <si>
    <t xml:space="preserve">⚠ Wind CF = 1.02 at S3D3. Installed capacity may be ~131 MW vs assumed 128 MW. Verify with CEB 2023 capacity additions.</t>
  </si>
  <si>
    <t xml:space="preserve">⚠ Solar: PUCSL MW column only captures CEB-dispatched grid-scale solar. Energy column (col 98) includes distributed/net-metered — used for energy allocation.</t>
  </si>
  <si>
    <t xml:space="preserve">Solar night values reflect the Energy-column allocation method, not actual night generation. True night solar CF = 0.</t>
  </si>
  <si>
    <t xml:space="preserve">B. DEMAND FRACTIONS — Recommended values for OSTRAM SpecifiedAnnualDemand distribution</t>
  </si>
  <si>
    <t xml:space="preserve">From PUCSL Total MW row (row 36/37/38/44 depending on file). Energy-weighted daypart allocation. Total: 15,274 GWh.</t>
  </si>
  <si>
    <t xml:space="preserve">YearSplit</t>
  </si>
  <si>
    <t xml:space="preserve">Demand Fraction</t>
  </si>
  <si>
    <t xml:space="preserve">Avg MW</t>
  </si>
  <si>
    <t xml:space="preserve">Energy (GWh)</t>
  </si>
  <si>
    <t xml:space="preserve">PUCSL Total MW 2023</t>
  </si>
  <si>
    <t xml:space="preserve">TOTAL</t>
  </si>
  <si>
    <t xml:space="preserve">C. INSTALLED CAPACITY — Approximate 2023 values (refine with CEB Statistical Digest)</t>
  </si>
  <si>
    <t xml:space="preserve">Sources: CEB Statistical Digest 2023, CEB Long Term Generation Expansion Plan 2023-2042</t>
  </si>
  <si>
    <t xml:space="preserve">OSTRAM Code</t>
  </si>
  <si>
    <t xml:space="preserve">Technology</t>
  </si>
  <si>
    <t xml:space="preserve">Installed (MW)</t>
  </si>
  <si>
    <t xml:space="preserve">Description</t>
  </si>
  <si>
    <t xml:space="preserve">PWRCOALKA</t>
  </si>
  <si>
    <t xml:space="preserve">Coal</t>
  </si>
  <si>
    <t xml:space="preserve">Norochcholai (3×300 MW)</t>
  </si>
  <si>
    <t xml:space="preserve">CEB Statistical Digest 2023</t>
  </si>
  <si>
    <t xml:space="preserve">PWROILKA_CEB</t>
  </si>
  <si>
    <t xml:space="preserve">Oil_CEB</t>
  </si>
  <si>
    <t xml:space="preserve">CEB thermal: LVPS, KPS, Sapugaskanda</t>
  </si>
  <si>
    <t xml:space="preserve">PWROILKA_IPP</t>
  </si>
  <si>
    <t xml:space="preserve">Oil_IPP</t>
  </si>
  <si>
    <t xml:space="preserve">IPP: Uthuru Janani, Asia Power, Barge</t>
  </si>
  <si>
    <t xml:space="preserve">PWRHYDKA</t>
  </si>
  <si>
    <t xml:space="preserve">Major_Hydro</t>
  </si>
  <si>
    <t xml:space="preserve">15 major hydro plants (Canyon–Kukule)</t>
  </si>
  <si>
    <t xml:space="preserve">PWRWONKA</t>
  </si>
  <si>
    <t xml:space="preserve">Wind</t>
  </si>
  <si>
    <t xml:space="preserve">Wind farms (Mannar, Puttalam)</t>
  </si>
  <si>
    <t xml:space="preserve">PWRSPVKA</t>
  </si>
  <si>
    <t xml:space="preserve">Solar</t>
  </si>
  <si>
    <t xml:space="preserve">Solar PV (grid-scale CEB dispatch only)</t>
  </si>
  <si>
    <t xml:space="preserve">PWRBIOKA</t>
  </si>
  <si>
    <t xml:space="preserve">Biomass</t>
  </si>
  <si>
    <t xml:space="preserve">Biomass plants</t>
  </si>
  <si>
    <t xml:space="preserve">PWRMNHKA</t>
  </si>
  <si>
    <t xml:space="preserve">Mini_Hydro</t>
  </si>
  <si>
    <t xml:space="preserve">CEB/IPP mini hydro</t>
  </si>
  <si>
    <t xml:space="preserve">SRI LANKA — GENERATION PROFILES BY FUEL TYPE &amp; TIMESLICE</t>
  </si>
  <si>
    <t xml:space="preserve">Average MW and energy (GWh) per timeslice from PUCSL 15-minute dispatch data, 2023.</t>
  </si>
  <si>
    <t xml:space="preserve">Coal
Avg MW</t>
  </si>
  <si>
    <t xml:space="preserve">Coal
GWh</t>
  </si>
  <si>
    <t xml:space="preserve">Oil_CEB
Avg MW</t>
  </si>
  <si>
    <t xml:space="preserve">Oil_CEB
GWh</t>
  </si>
  <si>
    <t xml:space="preserve">Oil_IPP
Avg MW</t>
  </si>
  <si>
    <t xml:space="preserve">Oil_IPP
GWh</t>
  </si>
  <si>
    <t xml:space="preserve">Major_Hydro
Avg MW</t>
  </si>
  <si>
    <t xml:space="preserve">Major_Hydro
GWh</t>
  </si>
  <si>
    <t xml:space="preserve">Wind
Avg MW</t>
  </si>
  <si>
    <t xml:space="preserve">Wind
GWh</t>
  </si>
  <si>
    <t xml:space="preserve">Solar
Avg MW</t>
  </si>
  <si>
    <t xml:space="preserve">Solar
GWh</t>
  </si>
  <si>
    <t xml:space="preserve">Biomass
Avg MW</t>
  </si>
  <si>
    <t xml:space="preserve">Biomass
GWh</t>
  </si>
  <si>
    <t xml:space="preserve">Mini_Hydro
Avg MW</t>
  </si>
  <si>
    <t xml:space="preserve">Mini_Hydro
GWh</t>
  </si>
  <si>
    <t xml:space="preserve">Total
Avg MW</t>
  </si>
  <si>
    <t xml:space="preserve">Total
GWh</t>
  </si>
  <si>
    <t xml:space="preserve">ANNUAL TOTAL</t>
  </si>
  <si>
    <t xml:space="preserve">SRI LANKA — MAJOR HYDRO: PLANT-LEVEL DISPATCH BY TIMESLICE</t>
  </si>
  <si>
    <t xml:space="preserve">15 individual plants from PUCSL Table 1. Average MW per timeslice.</t>
  </si>
  <si>
    <t xml:space="preserve">RELAC lesson</t>
  </si>
  <si>
    <t xml:space="preserve">MaxCapacity + low seasonal CF → per-timeslice bottleneck → model infeasibility. Use TotalTechnologyAnnualActivityUpperLimit.</t>
  </si>
  <si>
    <t xml:space="preserve">Pattern</t>
  </si>
  <si>
    <t xml:space="preserve">All seasons show D3 evening peaking (reservoir dispatch follows demand). S4 shows highest average — post-monsoon reservoir levels.</t>
  </si>
  <si>
    <t xml:space="preserve">Bowa</t>
  </si>
  <si>
    <t xml:space="preserve">Broadlands</t>
  </si>
  <si>
    <t xml:space="preserve">Canyon</t>
  </si>
  <si>
    <t xml:space="preserve">Koth</t>
  </si>
  <si>
    <t xml:space="preserve">Kukule</t>
  </si>
  <si>
    <t xml:space="preserve">Nlax</t>
  </si>
  <si>
    <t xml:space="preserve">Olax</t>
  </si>
  <si>
    <t xml:space="preserve">Polp</t>
  </si>
  <si>
    <t xml:space="preserve">Rand</t>
  </si>
  <si>
    <t xml:space="preserve">Rant</t>
  </si>
  <si>
    <t xml:space="preserve">Sam</t>
  </si>
  <si>
    <t xml:space="preserve">Uku</t>
  </si>
  <si>
    <t xml:space="preserve">Upper_Kothmale</t>
  </si>
  <si>
    <t xml:space="preserve">Vict</t>
  </si>
  <si>
    <t xml:space="preserve">WPS</t>
  </si>
  <si>
    <t xml:space="preserve">SRI LANKA — CROSS-VALIDATION LOG</t>
  </si>
  <si>
    <t xml:space="preserve">Validates PUCSL-derived profiles against CEB benchmarks and physical constraints.</t>
  </si>
  <si>
    <t xml:space="preserve">A. Annual Energy vs CEB 2023 Benchmarks</t>
  </si>
  <si>
    <t xml:space="preserve">Fuel Type</t>
  </si>
  <si>
    <t xml:space="preserve">Script (GWh)</t>
  </si>
  <si>
    <t xml:space="preserve">CEB Benchmark (GWh)</t>
  </si>
  <si>
    <t xml:space="preserve">Ratio</t>
  </si>
  <si>
    <t xml:space="preserve">Assessment</t>
  </si>
  <si>
    <t xml:space="preserve">✓ Within 5%</t>
  </si>
  <si>
    <t xml:space="preserve">~ Within 10%</t>
  </si>
  <si>
    <t xml:space="preserve">B. Physical Constraint Checks</t>
  </si>
  <si>
    <t xml:space="preserve">Check</t>
  </si>
  <si>
    <t xml:space="preserve">Result</t>
  </si>
  <si>
    <t xml:space="preserve">Status</t>
  </si>
  <si>
    <t xml:space="preserve">Solar CF at night (D1)</t>
  </si>
  <si>
    <t xml:space="preserve">Near zero (&lt;0.001) in all seasons except via energy allocation method</t>
  </si>
  <si>
    <t xml:space="preserve">✓ Pass</t>
  </si>
  <si>
    <t xml:space="preserve">Coal CF range</t>
  </si>
  <si>
    <t xml:space="preserve">0.39–0.76 across timeslices (Norochcholai 3-unit baseload)</t>
  </si>
  <si>
    <t xml:space="preserve">✓ Plausible</t>
  </si>
  <si>
    <t xml:space="preserve">Wind CF max</t>
  </si>
  <si>
    <t xml:space="preserve">1.02 at S3D3 — installed capacity ~128 MW may be slightly low</t>
  </si>
  <si>
    <t xml:space="preserve">⚠ Minor</t>
  </si>
  <si>
    <t xml:space="preserve">Hydro dispatch pattern</t>
  </si>
  <si>
    <t xml:space="preserve">D3 (evening) peak in all 4 seasons — consistent with reservoir dispatch</t>
  </si>
  <si>
    <t xml:space="preserve">Demand fractions sum</t>
  </si>
  <si>
    <t xml:space="preserve">1.000002 (rounding only)</t>
  </si>
  <si>
    <t xml:space="preserve">Total demand</t>
  </si>
  <si>
    <t xml:space="preserve">15,274 GWh vs ~16,000 GWh CEB (95.5%) — 2 missing days in S2,S3,S4</t>
  </si>
  <si>
    <t xml:space="preserve">✓ Acceptable</t>
  </si>
  <si>
    <t xml:space="preserve">Gen/demand balance</t>
  </si>
  <si>
    <t xml:space="preserve">100.0% annual; per-timeslice 94–105% (T&amp;D losses + measurement)</t>
  </si>
  <si>
    <t xml:space="preserve">C. Table Layout Detection (dynamic row detection v2)</t>
  </si>
  <si>
    <t xml:space="preserve">File (Month)</t>
  </si>
  <si>
    <t xml:space="preserve">Total Row</t>
  </si>
  <si>
    <t xml:space="preserve">Detection Result</t>
  </si>
  <si>
    <t xml:space="preserve">June 2023</t>
  </si>
  <si>
    <t xml:space="preserve">8/8 fuels, 15/15 hydro</t>
  </si>
  <si>
    <t xml:space="preserve">April 2023</t>
  </si>
  <si>
    <t xml:space="preserve">November 2023</t>
  </si>
  <si>
    <t xml:space="preserve">September 2023</t>
  </si>
  <si>
    <t xml:space="preserve">March 2023</t>
  </si>
  <si>
    <t xml:space="preserve">August 2023</t>
  </si>
  <si>
    <t xml:space="preserve">December 2023</t>
  </si>
  <si>
    <t xml:space="preserve">July 2023</t>
  </si>
  <si>
    <t xml:space="preserve">February 2023</t>
  </si>
  <si>
    <t xml:space="preserve">January 2023</t>
  </si>
  <si>
    <t xml:space="preserve">May 2023</t>
  </si>
  <si>
    <t xml:space="preserve">October 2023</t>
  </si>
  <si>
    <t xml:space="preserve">SRI LANKA — COMPLETE SOURCE INDEX</t>
  </si>
  <si>
    <t xml:space="preserve">Every data point in this workbook traces to one of the sources below.</t>
  </si>
  <si>
    <t xml:space="preserve">Code</t>
  </si>
  <si>
    <t xml:space="preserve">Publisher</t>
  </si>
  <si>
    <t xml:space="preserve">Coverage</t>
  </si>
  <si>
    <t xml:space="preserve">Sheets Used</t>
  </si>
  <si>
    <t xml:space="preserve">Key Data</t>
  </si>
  <si>
    <t xml:space="preserve">[P]</t>
  </si>
  <si>
    <t xml:space="preserve">PUCSL 15-Minute System Dispatch Reports</t>
  </si>
  <si>
    <t xml:space="preserve">Public Utilities Commission of Sri Lanka</t>
  </si>
  <si>
    <t xml:space="preserve">Jan–Dec 2023 (12 monthly files, 363 daily sheets)</t>
  </si>
  <si>
    <t xml:space="preserve">1,2,3,4</t>
  </si>
  <si>
    <t xml:space="preserve">96 intervals/day: individual plant MW + fuel-type aggregates + daily energy (MWh). Table 1 = plants, Table 2 = fuel types.</t>
  </si>
  <si>
    <t xml:space="preserve">[C]</t>
  </si>
  <si>
    <t xml:space="preserve">Ceylon Electricity Board</t>
  </si>
  <si>
    <t xml:space="preserve">2023 annual</t>
  </si>
  <si>
    <t xml:space="preserve">1,4</t>
  </si>
  <si>
    <t xml:space="preserve">Installed capacity by plant/fuel. Annual generation totals for cross-validation. System peak demand.</t>
  </si>
  <si>
    <t xml:space="preserve">[L]</t>
  </si>
  <si>
    <t xml:space="preserve">CEB Long Term Generation Expansion Plan 2023-2042</t>
  </si>
  <si>
    <t xml:space="preserve">2023–2042 planning horizon</t>
  </si>
  <si>
    <t xml:space="preserve">1</t>
  </si>
  <si>
    <t xml:space="preserve">Future capacity additions. Technology costs. Demand forecasts. Hydro expansion plans.</t>
  </si>
  <si>
    <t xml:space="preserve">[S]</t>
  </si>
  <si>
    <t xml:space="preserve">process_pucsl_spyder_v2.py</t>
  </si>
  <si>
    <t xml:space="preserve">CLG/OSTRAM (this project)</t>
  </si>
  <si>
    <t xml:space="preserve">2023 processing</t>
  </si>
  <si>
    <t xml:space="preserve">All</t>
  </si>
  <si>
    <t xml:space="preserve">Python script: dynamic row detection, 15-min→timeslice aggregation, energy-weighted daypart allocation. Handles solar MW/Energy discrepancy.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</si>
</sst>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0"/>
    <numFmt numFmtId="166" formatCode="0.000000"/>
    <numFmt numFmtId="167" formatCode="#,##0.0"/>
    <numFmt numFmtId="168" formatCode="#,##0.00"/>
    <numFmt numFmtId="169" formatCode="#,##0"/>
    <numFmt numFmtId="170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CC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FCE4EC"/>
      </patternFill>
    </fill>
    <fill>
      <patternFill patternType="solid">
        <fgColor rgb="FFFCE4EC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EC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3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11" min="4" style="0" width="14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s">
        <v>3</v>
      </c>
    </row>
    <row r="4" customFormat="false" ht="15" hidden="false" customHeight="false" outlineLevel="0" collapsed="false">
      <c r="A4" s="3" t="s">
        <v>4</v>
      </c>
      <c r="B4" s="4" t="s">
        <v>5</v>
      </c>
    </row>
    <row r="5" customFormat="false" ht="15" hidden="false" customHeight="false" outlineLevel="0" collapsed="false">
      <c r="A5" s="3" t="s">
        <v>6</v>
      </c>
      <c r="B5" s="4" t="s">
        <v>7</v>
      </c>
    </row>
    <row r="6" customFormat="false" ht="15" hidden="false" customHeight="false" outlineLevel="0" collapsed="false">
      <c r="A6" s="3" t="s">
        <v>8</v>
      </c>
      <c r="B6" s="4" t="s">
        <v>9</v>
      </c>
    </row>
    <row r="8" customFormat="false" ht="15" hidden="false" customHeight="false" outlineLevel="0" collapsed="false">
      <c r="A8" s="5" t="s">
        <v>10</v>
      </c>
    </row>
    <row r="9" customFormat="false" ht="15" hidden="false" customHeight="false" outlineLevel="0" collapsed="false">
      <c r="A9" s="2" t="s">
        <v>11</v>
      </c>
    </row>
    <row r="10" customFormat="false" ht="23.85" hidden="false" customHeight="false" outlineLevel="0" collapsed="false">
      <c r="A10" s="6" t="s">
        <v>12</v>
      </c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  <c r="I10" s="6" t="s">
        <v>20</v>
      </c>
      <c r="J10" s="6" t="s">
        <v>21</v>
      </c>
      <c r="K10" s="6" t="s">
        <v>22</v>
      </c>
      <c r="L10" s="6" t="s">
        <v>23</v>
      </c>
    </row>
    <row r="11" customFormat="false" ht="15" hidden="false" customHeight="false" outlineLevel="0" collapsed="false">
      <c r="A11" s="7" t="s">
        <v>24</v>
      </c>
      <c r="B11" s="7" t="s">
        <v>25</v>
      </c>
      <c r="C11" s="7" t="s">
        <v>26</v>
      </c>
      <c r="D11" s="8" t="n">
        <v>0.5718</v>
      </c>
      <c r="E11" s="8" t="n">
        <v>0.158</v>
      </c>
      <c r="F11" s="8" t="n">
        <v>0.1073</v>
      </c>
      <c r="G11" s="8" t="n">
        <v>0.3357</v>
      </c>
      <c r="H11" s="8" t="n">
        <v>0.3363</v>
      </c>
      <c r="I11" s="9" t="n">
        <v>0.0008</v>
      </c>
      <c r="J11" s="8" t="n">
        <v>0.3235</v>
      </c>
      <c r="K11" s="8" t="n">
        <v>0.1832</v>
      </c>
      <c r="L11" s="7" t="s">
        <v>27</v>
      </c>
    </row>
    <row r="12" customFormat="false" ht="15" hidden="false" customHeight="false" outlineLevel="0" collapsed="false">
      <c r="A12" s="7" t="s">
        <v>28</v>
      </c>
      <c r="B12" s="7" t="s">
        <v>25</v>
      </c>
      <c r="C12" s="7" t="s">
        <v>29</v>
      </c>
      <c r="D12" s="8" t="n">
        <v>0.606</v>
      </c>
      <c r="E12" s="8" t="n">
        <v>0.2078</v>
      </c>
      <c r="F12" s="8" t="n">
        <v>0.2099</v>
      </c>
      <c r="G12" s="8" t="n">
        <v>0.4808</v>
      </c>
      <c r="H12" s="8" t="n">
        <v>0.4378</v>
      </c>
      <c r="I12" s="9" t="n">
        <v>0.1058</v>
      </c>
      <c r="J12" s="8" t="n">
        <v>0.315</v>
      </c>
      <c r="K12" s="8" t="n">
        <v>0.1912</v>
      </c>
      <c r="L12" s="7" t="s">
        <v>27</v>
      </c>
    </row>
    <row r="13" customFormat="false" ht="15" hidden="false" customHeight="false" outlineLevel="0" collapsed="false">
      <c r="A13" s="7" t="s">
        <v>30</v>
      </c>
      <c r="B13" s="7" t="s">
        <v>25</v>
      </c>
      <c r="C13" s="7" t="s">
        <v>31</v>
      </c>
      <c r="D13" s="8" t="n">
        <v>0.6074</v>
      </c>
      <c r="E13" s="8" t="n">
        <v>0.2084</v>
      </c>
      <c r="F13" s="8" t="n">
        <v>0.2404</v>
      </c>
      <c r="G13" s="8" t="n">
        <v>0.507</v>
      </c>
      <c r="H13" s="8" t="n">
        <v>0.4329</v>
      </c>
      <c r="I13" s="9" t="n">
        <v>0</v>
      </c>
      <c r="J13" s="8" t="n">
        <v>0.3131</v>
      </c>
      <c r="K13" s="8" t="n">
        <v>0.1763</v>
      </c>
      <c r="L13" s="7" t="s">
        <v>27</v>
      </c>
    </row>
    <row r="14" customFormat="false" ht="15" hidden="false" customHeight="false" outlineLevel="0" collapsed="false">
      <c r="A14" s="7" t="s">
        <v>32</v>
      </c>
      <c r="B14" s="7" t="s">
        <v>33</v>
      </c>
      <c r="C14" s="7" t="s">
        <v>26</v>
      </c>
      <c r="D14" s="8" t="n">
        <v>0.7451</v>
      </c>
      <c r="E14" s="8" t="n">
        <v>0.2922</v>
      </c>
      <c r="F14" s="8" t="n">
        <v>0.3255</v>
      </c>
      <c r="G14" s="8" t="n">
        <v>0.1692</v>
      </c>
      <c r="H14" s="8" t="n">
        <v>0.3456</v>
      </c>
      <c r="I14" s="9" t="n">
        <v>0</v>
      </c>
      <c r="J14" s="8" t="n">
        <v>0.188</v>
      </c>
      <c r="K14" s="8" t="n">
        <v>0.0949</v>
      </c>
      <c r="L14" s="7" t="s">
        <v>27</v>
      </c>
    </row>
    <row r="15" customFormat="false" ht="15" hidden="false" customHeight="false" outlineLevel="0" collapsed="false">
      <c r="A15" s="7" t="s">
        <v>34</v>
      </c>
      <c r="B15" s="7" t="s">
        <v>33</v>
      </c>
      <c r="C15" s="7" t="s">
        <v>29</v>
      </c>
      <c r="D15" s="8" t="n">
        <v>0.7529</v>
      </c>
      <c r="E15" s="8" t="n">
        <v>0.3787</v>
      </c>
      <c r="F15" s="8" t="n">
        <v>0.4583</v>
      </c>
      <c r="G15" s="8" t="n">
        <v>0.2895</v>
      </c>
      <c r="H15" s="8" t="n">
        <v>0.332</v>
      </c>
      <c r="I15" s="9" t="n">
        <v>0.0806</v>
      </c>
      <c r="J15" s="8" t="n">
        <v>0.1833</v>
      </c>
      <c r="K15" s="8" t="n">
        <v>0.1031</v>
      </c>
      <c r="L15" s="7" t="s">
        <v>27</v>
      </c>
    </row>
    <row r="16" customFormat="false" ht="15" hidden="false" customHeight="false" outlineLevel="0" collapsed="false">
      <c r="A16" s="7" t="s">
        <v>35</v>
      </c>
      <c r="B16" s="7" t="s">
        <v>33</v>
      </c>
      <c r="C16" s="7" t="s">
        <v>31</v>
      </c>
      <c r="D16" s="8" t="n">
        <v>0.7646</v>
      </c>
      <c r="E16" s="8" t="n">
        <v>0.4074</v>
      </c>
      <c r="F16" s="8" t="n">
        <v>0.4561</v>
      </c>
      <c r="G16" s="8" t="n">
        <v>0.3754</v>
      </c>
      <c r="H16" s="8" t="n">
        <v>0.3913</v>
      </c>
      <c r="I16" s="9" t="n">
        <v>0</v>
      </c>
      <c r="J16" s="8" t="n">
        <v>0.1877</v>
      </c>
      <c r="K16" s="8" t="n">
        <v>0.1001</v>
      </c>
      <c r="L16" s="7" t="s">
        <v>27</v>
      </c>
    </row>
    <row r="17" customFormat="false" ht="15" hidden="false" customHeight="false" outlineLevel="0" collapsed="false">
      <c r="A17" s="7" t="s">
        <v>36</v>
      </c>
      <c r="B17" s="7" t="s">
        <v>37</v>
      </c>
      <c r="C17" s="7" t="s">
        <v>26</v>
      </c>
      <c r="D17" s="8" t="n">
        <v>0.5281</v>
      </c>
      <c r="E17" s="8" t="n">
        <v>0.3878</v>
      </c>
      <c r="F17" s="8" t="n">
        <v>0.3475</v>
      </c>
      <c r="G17" s="8" t="n">
        <v>0.1814</v>
      </c>
      <c r="H17" s="8" t="n">
        <v>0.9552</v>
      </c>
      <c r="I17" s="9" t="n">
        <v>-0.0003</v>
      </c>
      <c r="J17" s="8" t="n">
        <v>0.3503</v>
      </c>
      <c r="K17" s="8" t="n">
        <v>0.1202</v>
      </c>
      <c r="L17" s="7" t="s">
        <v>27</v>
      </c>
    </row>
    <row r="18" customFormat="false" ht="15" hidden="false" customHeight="false" outlineLevel="0" collapsed="false">
      <c r="A18" s="7" t="s">
        <v>38</v>
      </c>
      <c r="B18" s="7" t="s">
        <v>37</v>
      </c>
      <c r="C18" s="7" t="s">
        <v>29</v>
      </c>
      <c r="D18" s="8" t="n">
        <v>0.5393</v>
      </c>
      <c r="E18" s="8" t="n">
        <v>0.5347</v>
      </c>
      <c r="F18" s="8" t="n">
        <v>0.5108</v>
      </c>
      <c r="G18" s="8" t="n">
        <v>0.2702</v>
      </c>
      <c r="H18" s="8" t="n">
        <v>0.8542</v>
      </c>
      <c r="I18" s="9" t="n">
        <v>0.0822</v>
      </c>
      <c r="J18" s="8" t="n">
        <v>0.3457</v>
      </c>
      <c r="K18" s="8" t="n">
        <v>0.1045</v>
      </c>
      <c r="L18" s="7" t="s">
        <v>27</v>
      </c>
    </row>
    <row r="19" customFormat="false" ht="15" hidden="false" customHeight="false" outlineLevel="0" collapsed="false">
      <c r="A19" s="7" t="s">
        <v>39</v>
      </c>
      <c r="B19" s="7" t="s">
        <v>37</v>
      </c>
      <c r="C19" s="7" t="s">
        <v>31</v>
      </c>
      <c r="D19" s="8" t="n">
        <v>0.5511</v>
      </c>
      <c r="E19" s="8" t="n">
        <v>0.5641</v>
      </c>
      <c r="F19" s="8" t="n">
        <v>0.5537</v>
      </c>
      <c r="G19" s="8" t="n">
        <v>0.3278</v>
      </c>
      <c r="H19" s="10" t="n">
        <v>1.0196</v>
      </c>
      <c r="I19" s="9" t="n">
        <v>-0.0005</v>
      </c>
      <c r="J19" s="8" t="n">
        <v>0.3542</v>
      </c>
      <c r="K19" s="8" t="n">
        <v>0.1133</v>
      </c>
      <c r="L19" s="7" t="s">
        <v>27</v>
      </c>
    </row>
    <row r="20" customFormat="false" ht="15" hidden="false" customHeight="false" outlineLevel="0" collapsed="false">
      <c r="A20" s="7" t="s">
        <v>40</v>
      </c>
      <c r="B20" s="7" t="s">
        <v>41</v>
      </c>
      <c r="C20" s="7" t="s">
        <v>26</v>
      </c>
      <c r="D20" s="8" t="n">
        <v>0.3871</v>
      </c>
      <c r="E20" s="8" t="n">
        <v>0.0338</v>
      </c>
      <c r="F20" s="8" t="n">
        <v>0.0024</v>
      </c>
      <c r="G20" s="8" t="n">
        <v>0.4793</v>
      </c>
      <c r="H20" s="8" t="n">
        <v>0.2306</v>
      </c>
      <c r="I20" s="9" t="n">
        <v>0</v>
      </c>
      <c r="J20" s="8" t="n">
        <v>0.2778</v>
      </c>
      <c r="K20" s="8" t="n">
        <v>0.2884</v>
      </c>
      <c r="L20" s="7" t="s">
        <v>27</v>
      </c>
    </row>
    <row r="21" customFormat="false" ht="15" hidden="false" customHeight="false" outlineLevel="0" collapsed="false">
      <c r="A21" s="7" t="s">
        <v>42</v>
      </c>
      <c r="B21" s="7" t="s">
        <v>41</v>
      </c>
      <c r="C21" s="7" t="s">
        <v>29</v>
      </c>
      <c r="D21" s="8" t="n">
        <v>0.4607</v>
      </c>
      <c r="E21" s="8" t="n">
        <v>0.0781</v>
      </c>
      <c r="F21" s="8" t="n">
        <v>0.0608</v>
      </c>
      <c r="G21" s="8" t="n">
        <v>0.6477</v>
      </c>
      <c r="H21" s="8" t="n">
        <v>0.2637</v>
      </c>
      <c r="I21" s="9" t="n">
        <v>0.0895</v>
      </c>
      <c r="J21" s="8" t="n">
        <v>0.2854</v>
      </c>
      <c r="K21" s="8" t="n">
        <v>0.2414</v>
      </c>
      <c r="L21" s="7" t="s">
        <v>27</v>
      </c>
    </row>
    <row r="22" customFormat="false" ht="15" hidden="false" customHeight="false" outlineLevel="0" collapsed="false">
      <c r="A22" s="7" t="s">
        <v>43</v>
      </c>
      <c r="B22" s="7" t="s">
        <v>41</v>
      </c>
      <c r="C22" s="7" t="s">
        <v>31</v>
      </c>
      <c r="D22" s="8" t="n">
        <v>0.4692</v>
      </c>
      <c r="E22" s="8" t="n">
        <v>0.0832</v>
      </c>
      <c r="F22" s="8" t="n">
        <v>0.0928</v>
      </c>
      <c r="G22" s="8" t="n">
        <v>0.6914</v>
      </c>
      <c r="H22" s="8" t="n">
        <v>0.259</v>
      </c>
      <c r="I22" s="9" t="n">
        <v>0</v>
      </c>
      <c r="J22" s="8" t="n">
        <v>0.3029</v>
      </c>
      <c r="K22" s="8" t="n">
        <v>0.2683</v>
      </c>
      <c r="L22" s="7" t="s">
        <v>27</v>
      </c>
    </row>
    <row r="23" customFormat="false" ht="15" hidden="false" customHeight="false" outlineLevel="0" collapsed="false">
      <c r="A23" s="11" t="s">
        <v>44</v>
      </c>
    </row>
    <row r="24" customFormat="false" ht="15" hidden="false" customHeight="false" outlineLevel="0" collapsed="false">
      <c r="A24" s="2" t="s">
        <v>45</v>
      </c>
    </row>
    <row r="25" customFormat="false" ht="15" hidden="false" customHeight="false" outlineLevel="0" collapsed="false">
      <c r="A25" s="2" t="s">
        <v>46</v>
      </c>
    </row>
    <row r="27" customFormat="false" ht="15" hidden="false" customHeight="false" outlineLevel="0" collapsed="false">
      <c r="A27" s="5" t="s">
        <v>47</v>
      </c>
    </row>
    <row r="28" customFormat="false" ht="15" hidden="false" customHeight="false" outlineLevel="0" collapsed="false">
      <c r="A28" s="2" t="s">
        <v>48</v>
      </c>
    </row>
    <row r="29" customFormat="false" ht="23.85" hidden="false" customHeight="false" outlineLevel="0" collapsed="false">
      <c r="A29" s="6" t="s">
        <v>12</v>
      </c>
      <c r="B29" s="6" t="s">
        <v>13</v>
      </c>
      <c r="C29" s="6" t="s">
        <v>14</v>
      </c>
      <c r="D29" s="6" t="s">
        <v>49</v>
      </c>
      <c r="E29" s="6" t="s">
        <v>50</v>
      </c>
      <c r="F29" s="6" t="s">
        <v>51</v>
      </c>
      <c r="G29" s="6" t="s">
        <v>52</v>
      </c>
      <c r="H29" s="6" t="s">
        <v>23</v>
      </c>
    </row>
    <row r="30" customFormat="false" ht="15" hidden="false" customHeight="false" outlineLevel="0" collapsed="false">
      <c r="A30" s="7" t="s">
        <v>24</v>
      </c>
      <c r="B30" s="7" t="s">
        <v>25</v>
      </c>
      <c r="C30" s="7" t="s">
        <v>26</v>
      </c>
      <c r="D30" s="12" t="n">
        <v>0.061644</v>
      </c>
      <c r="E30" s="12" t="n">
        <v>0.048317</v>
      </c>
      <c r="F30" s="13" t="n">
        <v>1265.6</v>
      </c>
      <c r="G30" s="14" t="n">
        <v>737.98</v>
      </c>
      <c r="H30" s="7" t="s">
        <v>53</v>
      </c>
    </row>
    <row r="31" customFormat="false" ht="15" hidden="false" customHeight="false" outlineLevel="0" collapsed="false">
      <c r="A31" s="7" t="s">
        <v>28</v>
      </c>
      <c r="B31" s="7" t="s">
        <v>25</v>
      </c>
      <c r="C31" s="7" t="s">
        <v>29</v>
      </c>
      <c r="D31" s="12" t="n">
        <v>0.123288</v>
      </c>
      <c r="E31" s="12" t="n">
        <v>0.12308</v>
      </c>
      <c r="F31" s="13" t="n">
        <v>1612.7</v>
      </c>
      <c r="G31" s="14" t="n">
        <v>1879.88</v>
      </c>
      <c r="H31" s="7" t="s">
        <v>53</v>
      </c>
    </row>
    <row r="32" customFormat="false" ht="15" hidden="false" customHeight="false" outlineLevel="0" collapsed="false">
      <c r="A32" s="7" t="s">
        <v>30</v>
      </c>
      <c r="B32" s="7" t="s">
        <v>25</v>
      </c>
      <c r="C32" s="7" t="s">
        <v>31</v>
      </c>
      <c r="D32" s="12" t="n">
        <v>0.061644</v>
      </c>
      <c r="E32" s="12" t="n">
        <v>0.062397</v>
      </c>
      <c r="F32" s="13" t="n">
        <v>1635.4</v>
      </c>
      <c r="G32" s="14" t="n">
        <v>953.03</v>
      </c>
      <c r="H32" s="7" t="s">
        <v>53</v>
      </c>
    </row>
    <row r="33" customFormat="false" ht="15" hidden="false" customHeight="false" outlineLevel="0" collapsed="false">
      <c r="A33" s="7" t="s">
        <v>32</v>
      </c>
      <c r="B33" s="7" t="s">
        <v>33</v>
      </c>
      <c r="C33" s="7" t="s">
        <v>26</v>
      </c>
      <c r="D33" s="12" t="n">
        <v>0.063014</v>
      </c>
      <c r="E33" s="12" t="n">
        <v>0.052457</v>
      </c>
      <c r="F33" s="13" t="n">
        <v>1338.4</v>
      </c>
      <c r="G33" s="14" t="n">
        <v>801.2</v>
      </c>
      <c r="H33" s="7" t="s">
        <v>53</v>
      </c>
    </row>
    <row r="34" customFormat="false" ht="15" hidden="false" customHeight="false" outlineLevel="0" collapsed="false">
      <c r="A34" s="7" t="s">
        <v>34</v>
      </c>
      <c r="B34" s="7" t="s">
        <v>33</v>
      </c>
      <c r="C34" s="7" t="s">
        <v>29</v>
      </c>
      <c r="D34" s="12" t="n">
        <v>0.126027</v>
      </c>
      <c r="E34" s="12" t="n">
        <v>0.128975</v>
      </c>
      <c r="F34" s="13" t="n">
        <v>1646.9</v>
      </c>
      <c r="G34" s="14" t="n">
        <v>1969.92</v>
      </c>
      <c r="H34" s="7" t="s">
        <v>53</v>
      </c>
    </row>
    <row r="35" customFormat="false" ht="15" hidden="false" customHeight="false" outlineLevel="0" collapsed="false">
      <c r="A35" s="7" t="s">
        <v>35</v>
      </c>
      <c r="B35" s="7" t="s">
        <v>33</v>
      </c>
      <c r="C35" s="7" t="s">
        <v>31</v>
      </c>
      <c r="D35" s="12" t="n">
        <v>0.063014</v>
      </c>
      <c r="E35" s="12" t="n">
        <v>0.070015</v>
      </c>
      <c r="F35" s="13" t="n">
        <v>1786</v>
      </c>
      <c r="G35" s="14" t="n">
        <v>1069.38</v>
      </c>
      <c r="H35" s="7" t="s">
        <v>53</v>
      </c>
    </row>
    <row r="36" customFormat="false" ht="15" hidden="false" customHeight="false" outlineLevel="0" collapsed="false">
      <c r="A36" s="7" t="s">
        <v>36</v>
      </c>
      <c r="B36" s="7" t="s">
        <v>37</v>
      </c>
      <c r="C36" s="7" t="s">
        <v>26</v>
      </c>
      <c r="D36" s="12" t="n">
        <v>0.083562</v>
      </c>
      <c r="E36" s="12" t="n">
        <v>0.073649</v>
      </c>
      <c r="F36" s="13" t="n">
        <v>1330.3</v>
      </c>
      <c r="G36" s="14" t="n">
        <v>1124.88</v>
      </c>
      <c r="H36" s="7" t="s">
        <v>53</v>
      </c>
    </row>
    <row r="37" customFormat="false" ht="15" hidden="false" customHeight="false" outlineLevel="0" collapsed="false">
      <c r="A37" s="7" t="s">
        <v>38</v>
      </c>
      <c r="B37" s="7" t="s">
        <v>37</v>
      </c>
      <c r="C37" s="7" t="s">
        <v>29</v>
      </c>
      <c r="D37" s="12" t="n">
        <v>0.167123</v>
      </c>
      <c r="E37" s="12" t="n">
        <v>0.180643</v>
      </c>
      <c r="F37" s="13" t="n">
        <v>1633.2</v>
      </c>
      <c r="G37" s="14" t="n">
        <v>2759.08</v>
      </c>
      <c r="H37" s="7" t="s">
        <v>53</v>
      </c>
    </row>
    <row r="38" customFormat="false" ht="15" hidden="false" customHeight="false" outlineLevel="0" collapsed="false">
      <c r="A38" s="7" t="s">
        <v>39</v>
      </c>
      <c r="B38" s="7" t="s">
        <v>37</v>
      </c>
      <c r="C38" s="7" t="s">
        <v>31</v>
      </c>
      <c r="D38" s="12" t="n">
        <v>0.083562</v>
      </c>
      <c r="E38" s="12" t="n">
        <v>0.098028</v>
      </c>
      <c r="F38" s="13" t="n">
        <v>1771.1</v>
      </c>
      <c r="G38" s="14" t="n">
        <v>1497.24</v>
      </c>
      <c r="H38" s="7" t="s">
        <v>53</v>
      </c>
    </row>
    <row r="39" customFormat="false" ht="15" hidden="false" customHeight="false" outlineLevel="0" collapsed="false">
      <c r="A39" s="7" t="s">
        <v>40</v>
      </c>
      <c r="B39" s="7" t="s">
        <v>41</v>
      </c>
      <c r="C39" s="7" t="s">
        <v>26</v>
      </c>
      <c r="D39" s="12" t="n">
        <v>0.041781</v>
      </c>
      <c r="E39" s="12" t="n">
        <v>0.032725</v>
      </c>
      <c r="F39" s="13" t="n">
        <v>1194.3</v>
      </c>
      <c r="G39" s="14" t="n">
        <v>499.83</v>
      </c>
      <c r="H39" s="7" t="s">
        <v>53</v>
      </c>
    </row>
    <row r="40" customFormat="false" ht="15" hidden="false" customHeight="false" outlineLevel="0" collapsed="false">
      <c r="A40" s="7" t="s">
        <v>42</v>
      </c>
      <c r="B40" s="7" t="s">
        <v>41</v>
      </c>
      <c r="C40" s="7" t="s">
        <v>29</v>
      </c>
      <c r="D40" s="12" t="n">
        <v>0.083562</v>
      </c>
      <c r="E40" s="12" t="n">
        <v>0.08501</v>
      </c>
      <c r="F40" s="13" t="n">
        <v>1552.4</v>
      </c>
      <c r="G40" s="14" t="n">
        <v>1298.41</v>
      </c>
      <c r="H40" s="7" t="s">
        <v>53</v>
      </c>
    </row>
    <row r="41" customFormat="false" ht="15" hidden="false" customHeight="false" outlineLevel="0" collapsed="false">
      <c r="A41" s="7" t="s">
        <v>43</v>
      </c>
      <c r="B41" s="7" t="s">
        <v>41</v>
      </c>
      <c r="C41" s="7" t="s">
        <v>31</v>
      </c>
      <c r="D41" s="12" t="n">
        <v>0.041781</v>
      </c>
      <c r="E41" s="12" t="n">
        <v>0.044706</v>
      </c>
      <c r="F41" s="13" t="n">
        <v>1631.1</v>
      </c>
      <c r="G41" s="14" t="n">
        <v>682.82</v>
      </c>
      <c r="H41" s="7" t="s">
        <v>53</v>
      </c>
    </row>
    <row r="42" customFormat="false" ht="15" hidden="false" customHeight="false" outlineLevel="0" collapsed="false">
      <c r="A42" s="3" t="s">
        <v>54</v>
      </c>
      <c r="D42" s="12" t="n">
        <f aca="false">SUM(D30:D41)</f>
        <v>1.000002</v>
      </c>
      <c r="E42" s="12" t="n">
        <f aca="false">SUM(E30:E41)</f>
        <v>1.000002</v>
      </c>
      <c r="G42" s="14" t="n">
        <f aca="false">SUM(G30:G41)</f>
        <v>15273.65</v>
      </c>
    </row>
    <row r="44" customFormat="false" ht="15" hidden="false" customHeight="false" outlineLevel="0" collapsed="false">
      <c r="A44" s="5" t="s">
        <v>55</v>
      </c>
    </row>
    <row r="45" customFormat="false" ht="15" hidden="false" customHeight="false" outlineLevel="0" collapsed="false">
      <c r="A45" s="2" t="s">
        <v>56</v>
      </c>
    </row>
    <row r="46" customFormat="false" ht="15" hidden="false" customHeight="false" outlineLevel="0" collapsed="false">
      <c r="A46" s="6" t="s">
        <v>57</v>
      </c>
      <c r="B46" s="6" t="s">
        <v>58</v>
      </c>
      <c r="C46" s="6" t="s">
        <v>59</v>
      </c>
      <c r="D46" s="6" t="s">
        <v>60</v>
      </c>
      <c r="E46" s="6" t="s">
        <v>23</v>
      </c>
    </row>
    <row r="47" customFormat="false" ht="15" hidden="false" customHeight="false" outlineLevel="0" collapsed="false">
      <c r="A47" s="7" t="s">
        <v>61</v>
      </c>
      <c r="B47" s="7" t="s">
        <v>62</v>
      </c>
      <c r="C47" s="15" t="n">
        <v>900</v>
      </c>
      <c r="D47" s="7" t="s">
        <v>63</v>
      </c>
      <c r="E47" s="7" t="s">
        <v>64</v>
      </c>
    </row>
    <row r="48" customFormat="false" ht="15" hidden="false" customHeight="false" outlineLevel="0" collapsed="false">
      <c r="A48" s="7" t="s">
        <v>65</v>
      </c>
      <c r="B48" s="7" t="s">
        <v>66</v>
      </c>
      <c r="C48" s="15" t="n">
        <v>710</v>
      </c>
      <c r="D48" s="7" t="s">
        <v>67</v>
      </c>
      <c r="E48" s="7" t="s">
        <v>64</v>
      </c>
    </row>
    <row r="49" customFormat="false" ht="15" hidden="false" customHeight="false" outlineLevel="0" collapsed="false">
      <c r="A49" s="7" t="s">
        <v>68</v>
      </c>
      <c r="B49" s="7" t="s">
        <v>69</v>
      </c>
      <c r="C49" s="15" t="n">
        <v>420</v>
      </c>
      <c r="D49" s="7" t="s">
        <v>70</v>
      </c>
      <c r="E49" s="7" t="s">
        <v>64</v>
      </c>
    </row>
    <row r="50" customFormat="false" ht="15" hidden="false" customHeight="false" outlineLevel="0" collapsed="false">
      <c r="A50" s="7" t="s">
        <v>71</v>
      </c>
      <c r="B50" s="7" t="s">
        <v>72</v>
      </c>
      <c r="C50" s="15" t="n">
        <v>1384</v>
      </c>
      <c r="D50" s="7" t="s">
        <v>73</v>
      </c>
      <c r="E50" s="7" t="s">
        <v>64</v>
      </c>
    </row>
    <row r="51" customFormat="false" ht="15" hidden="false" customHeight="false" outlineLevel="0" collapsed="false">
      <c r="A51" s="7" t="s">
        <v>74</v>
      </c>
      <c r="B51" s="7" t="s">
        <v>75</v>
      </c>
      <c r="C51" s="15" t="n">
        <v>128</v>
      </c>
      <c r="D51" s="7" t="s">
        <v>76</v>
      </c>
      <c r="E51" s="7" t="s">
        <v>64</v>
      </c>
    </row>
    <row r="52" customFormat="false" ht="15" hidden="false" customHeight="false" outlineLevel="0" collapsed="false">
      <c r="A52" s="7" t="s">
        <v>77</v>
      </c>
      <c r="B52" s="7" t="s">
        <v>78</v>
      </c>
      <c r="C52" s="15" t="n">
        <v>200</v>
      </c>
      <c r="D52" s="7" t="s">
        <v>79</v>
      </c>
      <c r="E52" s="7" t="s">
        <v>64</v>
      </c>
    </row>
    <row r="53" customFormat="false" ht="15" hidden="false" customHeight="false" outlineLevel="0" collapsed="false">
      <c r="A53" s="7" t="s">
        <v>80</v>
      </c>
      <c r="B53" s="7" t="s">
        <v>81</v>
      </c>
      <c r="C53" s="15" t="n">
        <v>30</v>
      </c>
      <c r="D53" s="7" t="s">
        <v>82</v>
      </c>
      <c r="E53" s="7" t="s">
        <v>64</v>
      </c>
    </row>
    <row r="54" customFormat="false" ht="15" hidden="false" customHeight="false" outlineLevel="0" collapsed="false">
      <c r="A54" s="7" t="s">
        <v>83</v>
      </c>
      <c r="B54" s="7" t="s">
        <v>84</v>
      </c>
      <c r="C54" s="15" t="n">
        <v>415</v>
      </c>
      <c r="D54" s="7" t="s">
        <v>85</v>
      </c>
      <c r="E54" s="7" t="s">
        <v>64</v>
      </c>
    </row>
    <row r="55" customFormat="false" ht="15" hidden="false" customHeight="false" outlineLevel="0" collapsed="false">
      <c r="A55" s="3" t="s">
        <v>54</v>
      </c>
      <c r="C55" s="15" t="n">
        <f aca="false">SUM(C47:C54)</f>
        <v>4187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21" min="4" style="0" width="14"/>
  </cols>
  <sheetData>
    <row r="1" customFormat="false" ht="17.35" hidden="false" customHeight="false" outlineLevel="0" collapsed="false">
      <c r="A1" s="1" t="s">
        <v>86</v>
      </c>
    </row>
    <row r="2" customFormat="false" ht="15" hidden="false" customHeight="false" outlineLevel="0" collapsed="false">
      <c r="A2" s="2" t="s">
        <v>87</v>
      </c>
    </row>
    <row r="4" customFormat="false" ht="23.85" hidden="false" customHeight="false" outlineLevel="0" collapsed="false">
      <c r="A4" s="6" t="s">
        <v>12</v>
      </c>
      <c r="B4" s="6" t="s">
        <v>13</v>
      </c>
      <c r="C4" s="6" t="s">
        <v>14</v>
      </c>
      <c r="D4" s="6" t="s">
        <v>88</v>
      </c>
      <c r="E4" s="6" t="s">
        <v>89</v>
      </c>
      <c r="F4" s="6" t="s">
        <v>90</v>
      </c>
      <c r="G4" s="6" t="s">
        <v>91</v>
      </c>
      <c r="H4" s="6" t="s">
        <v>92</v>
      </c>
      <c r="I4" s="6" t="s">
        <v>93</v>
      </c>
      <c r="J4" s="6" t="s">
        <v>94</v>
      </c>
      <c r="K4" s="6" t="s">
        <v>95</v>
      </c>
      <c r="L4" s="6" t="s">
        <v>96</v>
      </c>
      <c r="M4" s="6" t="s">
        <v>97</v>
      </c>
      <c r="N4" s="6" t="s">
        <v>98</v>
      </c>
      <c r="O4" s="6" t="s">
        <v>99</v>
      </c>
      <c r="P4" s="6" t="s">
        <v>100</v>
      </c>
      <c r="Q4" s="6" t="s">
        <v>101</v>
      </c>
      <c r="R4" s="6" t="s">
        <v>102</v>
      </c>
      <c r="S4" s="6" t="s">
        <v>103</v>
      </c>
      <c r="T4" s="6" t="s">
        <v>104</v>
      </c>
      <c r="U4" s="6" t="s">
        <v>105</v>
      </c>
    </row>
    <row r="5" customFormat="false" ht="15" hidden="false" customHeight="false" outlineLevel="0" collapsed="false">
      <c r="A5" s="7" t="s">
        <v>24</v>
      </c>
      <c r="B5" s="7" t="s">
        <v>25</v>
      </c>
      <c r="C5" s="7" t="s">
        <v>26</v>
      </c>
      <c r="D5" s="13" t="n">
        <v>514.6</v>
      </c>
      <c r="E5" s="14" t="n">
        <v>278.11</v>
      </c>
      <c r="F5" s="13" t="n">
        <v>112.2</v>
      </c>
      <c r="G5" s="14" t="n">
        <v>60.32</v>
      </c>
      <c r="H5" s="13" t="n">
        <v>45.1</v>
      </c>
      <c r="I5" s="14" t="n">
        <v>23.76</v>
      </c>
      <c r="J5" s="13" t="n">
        <v>464.5</v>
      </c>
      <c r="K5" s="14" t="n">
        <v>250.17</v>
      </c>
      <c r="L5" s="13" t="n">
        <v>43</v>
      </c>
      <c r="M5" s="14" t="n">
        <v>27.38</v>
      </c>
      <c r="N5" s="13" t="n">
        <v>0.1</v>
      </c>
      <c r="O5" s="14" t="n">
        <v>1.2</v>
      </c>
      <c r="P5" s="13" t="n">
        <v>9.7</v>
      </c>
      <c r="Q5" s="14" t="n">
        <v>7.37</v>
      </c>
      <c r="R5" s="13" t="n">
        <v>76</v>
      </c>
      <c r="S5" s="14" t="n">
        <v>59.85</v>
      </c>
      <c r="T5" s="13" t="n">
        <v>1265.4</v>
      </c>
      <c r="U5" s="14" t="n">
        <v>708.16</v>
      </c>
    </row>
    <row r="6" customFormat="false" ht="15" hidden="false" customHeight="false" outlineLevel="0" collapsed="false">
      <c r="A6" s="7" t="s">
        <v>28</v>
      </c>
      <c r="B6" s="7" t="s">
        <v>25</v>
      </c>
      <c r="C6" s="7" t="s">
        <v>29</v>
      </c>
      <c r="D6" s="13" t="n">
        <v>545.4</v>
      </c>
      <c r="E6" s="14" t="n">
        <v>589.49</v>
      </c>
      <c r="F6" s="13" t="n">
        <v>147.5</v>
      </c>
      <c r="G6" s="14" t="n">
        <v>158.46</v>
      </c>
      <c r="H6" s="13" t="n">
        <v>88.2</v>
      </c>
      <c r="I6" s="14" t="n">
        <v>92.7</v>
      </c>
      <c r="J6" s="13" t="n">
        <v>665.4</v>
      </c>
      <c r="K6" s="14" t="n">
        <v>717.24</v>
      </c>
      <c r="L6" s="13" t="n">
        <v>56</v>
      </c>
      <c r="M6" s="14" t="n">
        <v>71.84</v>
      </c>
      <c r="N6" s="13" t="n">
        <v>21.2</v>
      </c>
      <c r="O6" s="14" t="n">
        <v>178.32</v>
      </c>
      <c r="P6" s="13" t="n">
        <v>9.4</v>
      </c>
      <c r="Q6" s="14" t="n">
        <v>13.81</v>
      </c>
      <c r="R6" s="13" t="n">
        <v>79.3</v>
      </c>
      <c r="S6" s="14" t="n">
        <v>133.44</v>
      </c>
      <c r="T6" s="13" t="n">
        <v>1612.4</v>
      </c>
      <c r="U6" s="14" t="n">
        <v>1955.3</v>
      </c>
    </row>
    <row r="7" customFormat="false" ht="15" hidden="false" customHeight="false" outlineLevel="0" collapsed="false">
      <c r="A7" s="7" t="s">
        <v>30</v>
      </c>
      <c r="B7" s="7" t="s">
        <v>25</v>
      </c>
      <c r="C7" s="7" t="s">
        <v>31</v>
      </c>
      <c r="D7" s="13" t="n">
        <v>546.7</v>
      </c>
      <c r="E7" s="14" t="n">
        <v>295.42</v>
      </c>
      <c r="F7" s="13" t="n">
        <v>148</v>
      </c>
      <c r="G7" s="14" t="n">
        <v>79.44</v>
      </c>
      <c r="H7" s="13" t="n">
        <v>101</v>
      </c>
      <c r="I7" s="14" t="n">
        <v>53.04</v>
      </c>
      <c r="J7" s="13" t="n">
        <v>701.6</v>
      </c>
      <c r="K7" s="14" t="n">
        <v>378.43</v>
      </c>
      <c r="L7" s="13" t="n">
        <v>55.4</v>
      </c>
      <c r="M7" s="14" t="n">
        <v>35.76</v>
      </c>
      <c r="N7" s="13" t="n">
        <v>0</v>
      </c>
      <c r="O7" s="14" t="n">
        <v>0.01</v>
      </c>
      <c r="P7" s="13" t="n">
        <v>9.4</v>
      </c>
      <c r="Q7" s="14" t="n">
        <v>6.68</v>
      </c>
      <c r="R7" s="13" t="n">
        <v>73.2</v>
      </c>
      <c r="S7" s="14" t="n">
        <v>58.03</v>
      </c>
      <c r="T7" s="13" t="n">
        <v>1635.2</v>
      </c>
      <c r="U7" s="14" t="n">
        <v>906.83</v>
      </c>
    </row>
    <row r="8" customFormat="false" ht="15" hidden="false" customHeight="false" outlineLevel="0" collapsed="false">
      <c r="A8" s="7" t="s">
        <v>32</v>
      </c>
      <c r="B8" s="7" t="s">
        <v>33</v>
      </c>
      <c r="C8" s="7" t="s">
        <v>26</v>
      </c>
      <c r="D8" s="13" t="n">
        <v>670.6</v>
      </c>
      <c r="E8" s="14" t="n">
        <v>362.75</v>
      </c>
      <c r="F8" s="13" t="n">
        <v>207.5</v>
      </c>
      <c r="G8" s="14" t="n">
        <v>111.37</v>
      </c>
      <c r="H8" s="13" t="n">
        <v>136.7</v>
      </c>
      <c r="I8" s="14" t="n">
        <v>72.37</v>
      </c>
      <c r="J8" s="13" t="n">
        <v>234.2</v>
      </c>
      <c r="K8" s="14" t="n">
        <v>127.53</v>
      </c>
      <c r="L8" s="13" t="n">
        <v>44.2</v>
      </c>
      <c r="M8" s="14" t="n">
        <v>28.99</v>
      </c>
      <c r="N8" s="13" t="n">
        <v>0</v>
      </c>
      <c r="O8" s="14" t="n">
        <v>0</v>
      </c>
      <c r="P8" s="13" t="n">
        <v>5.6</v>
      </c>
      <c r="Q8" s="14" t="n">
        <v>7.28</v>
      </c>
      <c r="R8" s="13" t="n">
        <v>39.4</v>
      </c>
      <c r="S8" s="14" t="n">
        <v>58.39</v>
      </c>
      <c r="T8" s="13" t="n">
        <v>1338.3</v>
      </c>
      <c r="U8" s="14" t="n">
        <v>768.67</v>
      </c>
    </row>
    <row r="9" customFormat="false" ht="15" hidden="false" customHeight="false" outlineLevel="0" collapsed="false">
      <c r="A9" s="7" t="s">
        <v>34</v>
      </c>
      <c r="B9" s="7" t="s">
        <v>33</v>
      </c>
      <c r="C9" s="7" t="s">
        <v>29</v>
      </c>
      <c r="D9" s="13" t="n">
        <v>677.6</v>
      </c>
      <c r="E9" s="14" t="n">
        <v>733.04</v>
      </c>
      <c r="F9" s="13" t="n">
        <v>268.9</v>
      </c>
      <c r="G9" s="14" t="n">
        <v>288.51</v>
      </c>
      <c r="H9" s="13" t="n">
        <v>192.5</v>
      </c>
      <c r="I9" s="14" t="n">
        <v>203.31</v>
      </c>
      <c r="J9" s="13" t="n">
        <v>400.7</v>
      </c>
      <c r="K9" s="14" t="n">
        <v>436.43</v>
      </c>
      <c r="L9" s="13" t="n">
        <v>42.5</v>
      </c>
      <c r="M9" s="14" t="n">
        <v>55.81</v>
      </c>
      <c r="N9" s="13" t="n">
        <v>16.1</v>
      </c>
      <c r="O9" s="14" t="n">
        <v>205</v>
      </c>
      <c r="P9" s="13" t="n">
        <v>5.5</v>
      </c>
      <c r="Q9" s="14" t="n">
        <v>13.61</v>
      </c>
      <c r="R9" s="13" t="n">
        <v>42.8</v>
      </c>
      <c r="S9" s="14" t="n">
        <v>122.44</v>
      </c>
      <c r="T9" s="13" t="n">
        <v>1646.6</v>
      </c>
      <c r="U9" s="14" t="n">
        <v>2058.15</v>
      </c>
    </row>
    <row r="10" customFormat="false" ht="15" hidden="false" customHeight="false" outlineLevel="0" collapsed="false">
      <c r="A10" s="7" t="s">
        <v>35</v>
      </c>
      <c r="B10" s="7" t="s">
        <v>33</v>
      </c>
      <c r="C10" s="7" t="s">
        <v>31</v>
      </c>
      <c r="D10" s="13" t="n">
        <v>688.2</v>
      </c>
      <c r="E10" s="14" t="n">
        <v>372.23</v>
      </c>
      <c r="F10" s="13" t="n">
        <v>289.2</v>
      </c>
      <c r="G10" s="14" t="n">
        <v>155.08</v>
      </c>
      <c r="H10" s="13" t="n">
        <v>191.6</v>
      </c>
      <c r="I10" s="14" t="n">
        <v>101.04</v>
      </c>
      <c r="J10" s="13" t="n">
        <v>519.5</v>
      </c>
      <c r="K10" s="14" t="n">
        <v>282.89</v>
      </c>
      <c r="L10" s="13" t="n">
        <v>50.1</v>
      </c>
      <c r="M10" s="14" t="n">
        <v>32.84</v>
      </c>
      <c r="N10" s="13" t="n">
        <v>0</v>
      </c>
      <c r="O10" s="14" t="n">
        <v>0</v>
      </c>
      <c r="P10" s="13" t="n">
        <v>5.6</v>
      </c>
      <c r="Q10" s="14" t="n">
        <v>7.11</v>
      </c>
      <c r="R10" s="13" t="n">
        <v>41.5</v>
      </c>
      <c r="S10" s="14" t="n">
        <v>61.18</v>
      </c>
      <c r="T10" s="13" t="n">
        <v>1785.7</v>
      </c>
      <c r="U10" s="14" t="n">
        <v>1012.37</v>
      </c>
    </row>
    <row r="11" customFormat="false" ht="15" hidden="false" customHeight="false" outlineLevel="0" collapsed="false">
      <c r="A11" s="7" t="s">
        <v>36</v>
      </c>
      <c r="B11" s="7" t="s">
        <v>37</v>
      </c>
      <c r="C11" s="7" t="s">
        <v>26</v>
      </c>
      <c r="D11" s="13" t="n">
        <v>475.3</v>
      </c>
      <c r="E11" s="14" t="n">
        <v>348.59</v>
      </c>
      <c r="F11" s="13" t="n">
        <v>275.3</v>
      </c>
      <c r="G11" s="14" t="n">
        <v>200.76</v>
      </c>
      <c r="H11" s="13" t="n">
        <v>146</v>
      </c>
      <c r="I11" s="14" t="n">
        <v>104.53</v>
      </c>
      <c r="J11" s="13" t="n">
        <v>251</v>
      </c>
      <c r="K11" s="14" t="n">
        <v>186.01</v>
      </c>
      <c r="L11" s="13" t="n">
        <v>122.3</v>
      </c>
      <c r="M11" s="14" t="n">
        <v>117.47</v>
      </c>
      <c r="N11" s="13" t="n">
        <v>-0.1</v>
      </c>
      <c r="O11" s="14" t="n">
        <v>-0.72</v>
      </c>
      <c r="P11" s="13" t="n">
        <v>10.5</v>
      </c>
      <c r="Q11" s="14" t="n">
        <v>13.1</v>
      </c>
      <c r="R11" s="13" t="n">
        <v>49.9</v>
      </c>
      <c r="S11" s="14" t="n">
        <v>131.59</v>
      </c>
      <c r="T11" s="13" t="n">
        <v>1330.2</v>
      </c>
      <c r="U11" s="14" t="n">
        <v>1101.33</v>
      </c>
    </row>
    <row r="12" customFormat="false" ht="15" hidden="false" customHeight="false" outlineLevel="0" collapsed="false">
      <c r="A12" s="7" t="s">
        <v>38</v>
      </c>
      <c r="B12" s="7" t="s">
        <v>37</v>
      </c>
      <c r="C12" s="7" t="s">
        <v>29</v>
      </c>
      <c r="D12" s="13" t="n">
        <v>485.4</v>
      </c>
      <c r="E12" s="14" t="n">
        <v>711.97</v>
      </c>
      <c r="F12" s="13" t="n">
        <v>379.7</v>
      </c>
      <c r="G12" s="14" t="n">
        <v>553.59</v>
      </c>
      <c r="H12" s="13" t="n">
        <v>214.5</v>
      </c>
      <c r="I12" s="14" t="n">
        <v>306.93</v>
      </c>
      <c r="J12" s="13" t="n">
        <v>373.9</v>
      </c>
      <c r="K12" s="14" t="n">
        <v>554.19</v>
      </c>
      <c r="L12" s="13" t="n">
        <v>109.3</v>
      </c>
      <c r="M12" s="14" t="n">
        <v>210.29</v>
      </c>
      <c r="N12" s="13" t="n">
        <v>16.4</v>
      </c>
      <c r="O12" s="14" t="n">
        <v>287.23</v>
      </c>
      <c r="P12" s="13" t="n">
        <v>10.4</v>
      </c>
      <c r="Q12" s="14" t="n">
        <v>25.83</v>
      </c>
      <c r="R12" s="13" t="n">
        <v>43.4</v>
      </c>
      <c r="S12" s="14" t="n">
        <v>211.97</v>
      </c>
      <c r="T12" s="13" t="n">
        <v>1633</v>
      </c>
      <c r="U12" s="14" t="n">
        <v>2861.99</v>
      </c>
    </row>
    <row r="13" customFormat="false" ht="15" hidden="false" customHeight="false" outlineLevel="0" collapsed="false">
      <c r="A13" s="7" t="s">
        <v>39</v>
      </c>
      <c r="B13" s="7" t="s">
        <v>37</v>
      </c>
      <c r="C13" s="7" t="s">
        <v>31</v>
      </c>
      <c r="D13" s="13" t="n">
        <v>496</v>
      </c>
      <c r="E13" s="14" t="n">
        <v>363.78</v>
      </c>
      <c r="F13" s="13" t="n">
        <v>400.5</v>
      </c>
      <c r="G13" s="14" t="n">
        <v>291.94</v>
      </c>
      <c r="H13" s="13" t="n">
        <v>232.6</v>
      </c>
      <c r="I13" s="14" t="n">
        <v>166.31</v>
      </c>
      <c r="J13" s="13" t="n">
        <v>453.7</v>
      </c>
      <c r="K13" s="14" t="n">
        <v>336.1</v>
      </c>
      <c r="L13" s="13" t="n">
        <v>130.5</v>
      </c>
      <c r="M13" s="14" t="n">
        <v>125.45</v>
      </c>
      <c r="N13" s="13" t="n">
        <v>-0.1</v>
      </c>
      <c r="O13" s="14" t="n">
        <v>-1.32</v>
      </c>
      <c r="P13" s="13" t="n">
        <v>10.6</v>
      </c>
      <c r="Q13" s="14" t="n">
        <v>13.29</v>
      </c>
      <c r="R13" s="13" t="n">
        <v>47</v>
      </c>
      <c r="S13" s="14" t="n">
        <v>122.34</v>
      </c>
      <c r="T13" s="13" t="n">
        <v>1770.9</v>
      </c>
      <c r="U13" s="14" t="n">
        <v>1417.89</v>
      </c>
    </row>
    <row r="14" customFormat="false" ht="15" hidden="false" customHeight="false" outlineLevel="0" collapsed="false">
      <c r="A14" s="7" t="s">
        <v>40</v>
      </c>
      <c r="B14" s="7" t="s">
        <v>41</v>
      </c>
      <c r="C14" s="7" t="s">
        <v>26</v>
      </c>
      <c r="D14" s="13" t="n">
        <v>348.4</v>
      </c>
      <c r="E14" s="14" t="n">
        <v>127.72</v>
      </c>
      <c r="F14" s="13" t="n">
        <v>24</v>
      </c>
      <c r="G14" s="14" t="n">
        <v>8.74</v>
      </c>
      <c r="H14" s="13" t="n">
        <v>1</v>
      </c>
      <c r="I14" s="14" t="n">
        <v>0.36</v>
      </c>
      <c r="J14" s="13" t="n">
        <v>663.4</v>
      </c>
      <c r="K14" s="14" t="n">
        <v>245.3</v>
      </c>
      <c r="L14" s="13" t="n">
        <v>29.5</v>
      </c>
      <c r="M14" s="14" t="n">
        <v>14.63</v>
      </c>
      <c r="N14" s="13" t="n">
        <v>0</v>
      </c>
      <c r="O14" s="14" t="n">
        <v>0</v>
      </c>
      <c r="P14" s="13" t="n">
        <v>8.3</v>
      </c>
      <c r="Q14" s="14" t="n">
        <v>4.3</v>
      </c>
      <c r="R14" s="13" t="n">
        <v>119.7</v>
      </c>
      <c r="S14" s="14" t="n">
        <v>86.06</v>
      </c>
      <c r="T14" s="13" t="n">
        <v>1194.3</v>
      </c>
      <c r="U14" s="14" t="n">
        <v>487.11</v>
      </c>
    </row>
    <row r="15" customFormat="false" ht="15" hidden="false" customHeight="false" outlineLevel="0" collapsed="false">
      <c r="A15" s="7" t="s">
        <v>42</v>
      </c>
      <c r="B15" s="7" t="s">
        <v>41</v>
      </c>
      <c r="C15" s="7" t="s">
        <v>29</v>
      </c>
      <c r="D15" s="13" t="n">
        <v>414.6</v>
      </c>
      <c r="E15" s="14" t="n">
        <v>303.99</v>
      </c>
      <c r="F15" s="13" t="n">
        <v>55.4</v>
      </c>
      <c r="G15" s="14" t="n">
        <v>40.31</v>
      </c>
      <c r="H15" s="13" t="n">
        <v>25.5</v>
      </c>
      <c r="I15" s="14" t="n">
        <v>18.26</v>
      </c>
      <c r="J15" s="13" t="n">
        <v>896.4</v>
      </c>
      <c r="K15" s="14" t="n">
        <v>662.97</v>
      </c>
      <c r="L15" s="13" t="n">
        <v>33.8</v>
      </c>
      <c r="M15" s="14" t="n">
        <v>33.6</v>
      </c>
      <c r="N15" s="13" t="n">
        <v>17.9</v>
      </c>
      <c r="O15" s="14" t="n">
        <v>143.26</v>
      </c>
      <c r="P15" s="13" t="n">
        <v>8.6</v>
      </c>
      <c r="Q15" s="14" t="n">
        <v>8.93</v>
      </c>
      <c r="R15" s="13" t="n">
        <v>100.2</v>
      </c>
      <c r="S15" s="14" t="n">
        <v>138.88</v>
      </c>
      <c r="T15" s="13" t="n">
        <v>1552.3</v>
      </c>
      <c r="U15" s="14" t="n">
        <v>1350.21</v>
      </c>
    </row>
    <row r="16" customFormat="false" ht="15" hidden="false" customHeight="false" outlineLevel="0" collapsed="false">
      <c r="A16" s="7" t="s">
        <v>43</v>
      </c>
      <c r="B16" s="7" t="s">
        <v>41</v>
      </c>
      <c r="C16" s="7" t="s">
        <v>31</v>
      </c>
      <c r="D16" s="13" t="n">
        <v>422.3</v>
      </c>
      <c r="E16" s="14" t="n">
        <v>154.82</v>
      </c>
      <c r="F16" s="13" t="n">
        <v>59</v>
      </c>
      <c r="G16" s="14" t="n">
        <v>21.46</v>
      </c>
      <c r="H16" s="13" t="n">
        <v>39</v>
      </c>
      <c r="I16" s="14" t="n">
        <v>13.97</v>
      </c>
      <c r="J16" s="13" t="n">
        <v>956.9</v>
      </c>
      <c r="K16" s="14" t="n">
        <v>353.95</v>
      </c>
      <c r="L16" s="13" t="n">
        <v>33.1</v>
      </c>
      <c r="M16" s="14" t="n">
        <v>16.58</v>
      </c>
      <c r="N16" s="13" t="n">
        <v>0</v>
      </c>
      <c r="O16" s="14" t="n">
        <v>0</v>
      </c>
      <c r="P16" s="13" t="n">
        <v>9.1</v>
      </c>
      <c r="Q16" s="14" t="n">
        <v>4.87</v>
      </c>
      <c r="R16" s="13" t="n">
        <v>111.3</v>
      </c>
      <c r="S16" s="14" t="n">
        <v>78.09</v>
      </c>
      <c r="T16" s="13" t="n">
        <v>1630.8</v>
      </c>
      <c r="U16" s="14" t="n">
        <v>643.74</v>
      </c>
    </row>
    <row r="17" customFormat="false" ht="15" hidden="false" customHeight="false" outlineLevel="0" collapsed="false">
      <c r="A17" s="3" t="s">
        <v>106</v>
      </c>
      <c r="E17" s="14" t="n">
        <v>4641.9</v>
      </c>
      <c r="G17" s="14" t="n">
        <v>1969.98</v>
      </c>
      <c r="I17" s="14" t="n">
        <v>1156.57</v>
      </c>
      <c r="K17" s="14" t="n">
        <v>4531.22</v>
      </c>
      <c r="M17" s="14" t="n">
        <v>770.64</v>
      </c>
      <c r="O17" s="14" t="n">
        <v>812.98</v>
      </c>
      <c r="Q17" s="14" t="n">
        <v>126.17</v>
      </c>
      <c r="S17" s="14" t="n">
        <v>1262.26</v>
      </c>
      <c r="U17" s="14" t="n">
        <v>15271.72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19" min="4" style="0" width="12"/>
  </cols>
  <sheetData>
    <row r="1" customFormat="false" ht="17.35" hidden="false" customHeight="false" outlineLevel="0" collapsed="false">
      <c r="A1" s="1" t="s">
        <v>107</v>
      </c>
    </row>
    <row r="2" customFormat="false" ht="15" hidden="false" customHeight="false" outlineLevel="0" collapsed="false">
      <c r="A2" s="2" t="s">
        <v>108</v>
      </c>
    </row>
    <row r="3" customFormat="false" ht="15" hidden="false" customHeight="false" outlineLevel="0" collapsed="false">
      <c r="A3" s="3" t="s">
        <v>109</v>
      </c>
      <c r="B3" s="4" t="s">
        <v>110</v>
      </c>
    </row>
    <row r="4" customFormat="false" ht="15" hidden="false" customHeight="false" outlineLevel="0" collapsed="false">
      <c r="A4" s="3" t="s">
        <v>111</v>
      </c>
      <c r="B4" s="4" t="s">
        <v>112</v>
      </c>
    </row>
    <row r="6" customFormat="false" ht="23.85" hidden="false" customHeight="false" outlineLevel="0" collapsed="false">
      <c r="A6" s="6" t="s">
        <v>12</v>
      </c>
      <c r="B6" s="6" t="s">
        <v>13</v>
      </c>
      <c r="C6" s="6" t="s">
        <v>14</v>
      </c>
      <c r="D6" s="6" t="s">
        <v>113</v>
      </c>
      <c r="E6" s="6" t="s">
        <v>114</v>
      </c>
      <c r="F6" s="6" t="s">
        <v>115</v>
      </c>
      <c r="G6" s="6" t="s">
        <v>116</v>
      </c>
      <c r="H6" s="6" t="s">
        <v>117</v>
      </c>
      <c r="I6" s="6" t="s">
        <v>118</v>
      </c>
      <c r="J6" s="6" t="s">
        <v>119</v>
      </c>
      <c r="K6" s="6" t="s">
        <v>120</v>
      </c>
      <c r="L6" s="6" t="s">
        <v>121</v>
      </c>
      <c r="M6" s="6" t="s">
        <v>122</v>
      </c>
      <c r="N6" s="6" t="s">
        <v>123</v>
      </c>
      <c r="O6" s="6" t="s">
        <v>124</v>
      </c>
      <c r="P6" s="6" t="s">
        <v>125</v>
      </c>
      <c r="Q6" s="6" t="s">
        <v>126</v>
      </c>
      <c r="R6" s="6" t="s">
        <v>127</v>
      </c>
      <c r="S6" s="6" t="s">
        <v>54</v>
      </c>
    </row>
    <row r="7" customFormat="false" ht="15" hidden="false" customHeight="false" outlineLevel="0" collapsed="false">
      <c r="A7" s="7" t="s">
        <v>24</v>
      </c>
      <c r="B7" s="7" t="s">
        <v>25</v>
      </c>
      <c r="C7" s="7" t="s">
        <v>26</v>
      </c>
      <c r="D7" s="13" t="n">
        <v>11</v>
      </c>
      <c r="E7" s="13" t="n">
        <v>6.2</v>
      </c>
      <c r="F7" s="13" t="n">
        <v>8.1</v>
      </c>
      <c r="G7" s="13" t="n">
        <v>39.1</v>
      </c>
      <c r="H7" s="13" t="n">
        <v>17.5</v>
      </c>
      <c r="I7" s="13" t="n">
        <v>39.5</v>
      </c>
      <c r="J7" s="13" t="n">
        <v>21.7</v>
      </c>
      <c r="K7" s="13" t="n">
        <v>32.7</v>
      </c>
      <c r="L7" s="13" t="n">
        <v>54.8</v>
      </c>
      <c r="M7" s="13" t="n">
        <v>28.6</v>
      </c>
      <c r="N7" s="13" t="n">
        <v>49.6</v>
      </c>
      <c r="O7" s="13" t="n">
        <v>24.4</v>
      </c>
      <c r="P7" s="13" t="n">
        <v>29.7</v>
      </c>
      <c r="Q7" s="13" t="n">
        <v>95.2</v>
      </c>
      <c r="R7" s="13" t="n">
        <v>6.4</v>
      </c>
      <c r="S7" s="16" t="n">
        <v>464.5</v>
      </c>
    </row>
    <row r="8" customFormat="false" ht="15" hidden="false" customHeight="false" outlineLevel="0" collapsed="false">
      <c r="A8" s="7" t="s">
        <v>28</v>
      </c>
      <c r="B8" s="7" t="s">
        <v>25</v>
      </c>
      <c r="C8" s="7" t="s">
        <v>29</v>
      </c>
      <c r="D8" s="13" t="n">
        <v>17.5</v>
      </c>
      <c r="E8" s="13" t="n">
        <v>6.2</v>
      </c>
      <c r="F8" s="13" t="n">
        <v>19.7</v>
      </c>
      <c r="G8" s="13" t="n">
        <v>69.9</v>
      </c>
      <c r="H8" s="13" t="n">
        <v>20.4</v>
      </c>
      <c r="I8" s="13" t="n">
        <v>59</v>
      </c>
      <c r="J8" s="13" t="n">
        <v>33.3</v>
      </c>
      <c r="K8" s="13" t="n">
        <v>49.5</v>
      </c>
      <c r="L8" s="13" t="n">
        <v>74.2</v>
      </c>
      <c r="M8" s="13" t="n">
        <v>32.9</v>
      </c>
      <c r="N8" s="13" t="n">
        <v>65.5</v>
      </c>
      <c r="O8" s="13" t="n">
        <v>24.1</v>
      </c>
      <c r="P8" s="13" t="n">
        <v>48.8</v>
      </c>
      <c r="Q8" s="13" t="n">
        <v>127.5</v>
      </c>
      <c r="R8" s="13" t="n">
        <v>16.9</v>
      </c>
      <c r="S8" s="16" t="n">
        <v>665.4</v>
      </c>
    </row>
    <row r="9" customFormat="false" ht="15" hidden="false" customHeight="false" outlineLevel="0" collapsed="false">
      <c r="A9" s="17" t="s">
        <v>30</v>
      </c>
      <c r="B9" s="17" t="s">
        <v>25</v>
      </c>
      <c r="C9" s="17" t="s">
        <v>31</v>
      </c>
      <c r="D9" s="18" t="n">
        <v>17.1</v>
      </c>
      <c r="E9" s="18" t="n">
        <v>10.6</v>
      </c>
      <c r="F9" s="18" t="n">
        <v>22.6</v>
      </c>
      <c r="G9" s="18" t="n">
        <v>68.3</v>
      </c>
      <c r="H9" s="18" t="n">
        <v>24.1</v>
      </c>
      <c r="I9" s="18" t="n">
        <v>61.1</v>
      </c>
      <c r="J9" s="18" t="n">
        <v>31.9</v>
      </c>
      <c r="K9" s="18" t="n">
        <v>51.3</v>
      </c>
      <c r="L9" s="18" t="n">
        <v>78.4</v>
      </c>
      <c r="M9" s="18" t="n">
        <v>33.5</v>
      </c>
      <c r="N9" s="18" t="n">
        <v>80.7</v>
      </c>
      <c r="O9" s="18" t="n">
        <v>25.1</v>
      </c>
      <c r="P9" s="18" t="n">
        <v>60.5</v>
      </c>
      <c r="Q9" s="18" t="n">
        <v>116.8</v>
      </c>
      <c r="R9" s="18" t="n">
        <v>19.4</v>
      </c>
      <c r="S9" s="19" t="n">
        <v>701.6</v>
      </c>
    </row>
    <row r="10" customFormat="false" ht="15" hidden="false" customHeight="false" outlineLevel="0" collapsed="false">
      <c r="A10" s="7" t="s">
        <v>32</v>
      </c>
      <c r="B10" s="7" t="s">
        <v>33</v>
      </c>
      <c r="C10" s="7" t="s">
        <v>26</v>
      </c>
      <c r="D10" s="13" t="n">
        <v>1.3</v>
      </c>
      <c r="E10" s="13" t="n">
        <v>4.3</v>
      </c>
      <c r="F10" s="13" t="n">
        <v>7.3</v>
      </c>
      <c r="G10" s="13" t="n">
        <v>8.5</v>
      </c>
      <c r="H10" s="13" t="n">
        <v>15.6</v>
      </c>
      <c r="I10" s="13" t="n">
        <v>39.5</v>
      </c>
      <c r="J10" s="13" t="n">
        <v>24.5</v>
      </c>
      <c r="K10" s="13" t="n">
        <v>30</v>
      </c>
      <c r="L10" s="13" t="n">
        <v>8.6</v>
      </c>
      <c r="M10" s="13" t="n">
        <v>7.9</v>
      </c>
      <c r="N10" s="13" t="n">
        <v>10.2</v>
      </c>
      <c r="O10" s="13" t="n">
        <v>13.4</v>
      </c>
      <c r="P10" s="13" t="n">
        <v>8</v>
      </c>
      <c r="Q10" s="13" t="n">
        <v>48.8</v>
      </c>
      <c r="R10" s="13" t="n">
        <v>6.2</v>
      </c>
      <c r="S10" s="16" t="n">
        <v>234.1</v>
      </c>
    </row>
    <row r="11" customFormat="false" ht="15" hidden="false" customHeight="false" outlineLevel="0" collapsed="false">
      <c r="A11" s="7" t="s">
        <v>34</v>
      </c>
      <c r="B11" s="7" t="s">
        <v>33</v>
      </c>
      <c r="C11" s="7" t="s">
        <v>29</v>
      </c>
      <c r="D11" s="13" t="n">
        <v>6.2</v>
      </c>
      <c r="E11" s="13" t="n">
        <v>4.4</v>
      </c>
      <c r="F11" s="13" t="n">
        <v>17.3</v>
      </c>
      <c r="G11" s="13" t="n">
        <v>17.4</v>
      </c>
      <c r="H11" s="13" t="n">
        <v>22.3</v>
      </c>
      <c r="I11" s="13" t="n">
        <v>55.7</v>
      </c>
      <c r="J11" s="13" t="n">
        <v>32.3</v>
      </c>
      <c r="K11" s="13" t="n">
        <v>45.7</v>
      </c>
      <c r="L11" s="13" t="n">
        <v>29.3</v>
      </c>
      <c r="M11" s="13" t="n">
        <v>13.6</v>
      </c>
      <c r="N11" s="13" t="n">
        <v>42.1</v>
      </c>
      <c r="O11" s="13" t="n">
        <v>17.2</v>
      </c>
      <c r="P11" s="13" t="n">
        <v>18</v>
      </c>
      <c r="Q11" s="13" t="n">
        <v>65.8</v>
      </c>
      <c r="R11" s="13" t="n">
        <v>13.4</v>
      </c>
      <c r="S11" s="16" t="n">
        <v>400.7</v>
      </c>
    </row>
    <row r="12" customFormat="false" ht="15" hidden="false" customHeight="false" outlineLevel="0" collapsed="false">
      <c r="A12" s="17" t="s">
        <v>35</v>
      </c>
      <c r="B12" s="17" t="s">
        <v>33</v>
      </c>
      <c r="C12" s="17" t="s">
        <v>31</v>
      </c>
      <c r="D12" s="18" t="n">
        <v>11.2</v>
      </c>
      <c r="E12" s="18" t="n">
        <v>7.6</v>
      </c>
      <c r="F12" s="18" t="n">
        <v>22.2</v>
      </c>
      <c r="G12" s="18" t="n">
        <v>25.1</v>
      </c>
      <c r="H12" s="18" t="n">
        <v>28.9</v>
      </c>
      <c r="I12" s="18" t="n">
        <v>59.9</v>
      </c>
      <c r="J12" s="18" t="n">
        <v>33.5</v>
      </c>
      <c r="K12" s="18" t="n">
        <v>50.6</v>
      </c>
      <c r="L12" s="18" t="n">
        <v>53.2</v>
      </c>
      <c r="M12" s="18" t="n">
        <v>24.5</v>
      </c>
      <c r="N12" s="18" t="n">
        <v>59.1</v>
      </c>
      <c r="O12" s="18" t="n">
        <v>20.8</v>
      </c>
      <c r="P12" s="18" t="n">
        <v>36.5</v>
      </c>
      <c r="Q12" s="18" t="n">
        <v>68.9</v>
      </c>
      <c r="R12" s="18" t="n">
        <v>17.4</v>
      </c>
      <c r="S12" s="19" t="n">
        <v>519.5</v>
      </c>
    </row>
    <row r="13" customFormat="false" ht="15" hidden="false" customHeight="false" outlineLevel="0" collapsed="false">
      <c r="A13" s="7" t="s">
        <v>36</v>
      </c>
      <c r="B13" s="7" t="s">
        <v>37</v>
      </c>
      <c r="C13" s="7" t="s">
        <v>26</v>
      </c>
      <c r="D13" s="13" t="n">
        <v>0.6</v>
      </c>
      <c r="E13" s="13" t="n">
        <v>6.3</v>
      </c>
      <c r="F13" s="13" t="n">
        <v>3.9</v>
      </c>
      <c r="G13" s="13" t="n">
        <v>24.6</v>
      </c>
      <c r="H13" s="13" t="n">
        <v>35.8</v>
      </c>
      <c r="I13" s="13" t="n">
        <v>39.2</v>
      </c>
      <c r="J13" s="13" t="n">
        <v>20.4</v>
      </c>
      <c r="K13" s="13" t="n">
        <v>31.9</v>
      </c>
      <c r="L13" s="13" t="n">
        <v>10.1</v>
      </c>
      <c r="M13" s="13" t="n">
        <v>10.1</v>
      </c>
      <c r="N13" s="13" t="n">
        <v>7.7</v>
      </c>
      <c r="O13" s="13" t="n">
        <v>18.4</v>
      </c>
      <c r="P13" s="13" t="n">
        <v>16.5</v>
      </c>
      <c r="Q13" s="13" t="n">
        <v>23.4</v>
      </c>
      <c r="R13" s="13" t="n">
        <v>2.1</v>
      </c>
      <c r="S13" s="16" t="n">
        <v>251</v>
      </c>
    </row>
    <row r="14" customFormat="false" ht="15" hidden="false" customHeight="false" outlineLevel="0" collapsed="false">
      <c r="A14" s="7" t="s">
        <v>38</v>
      </c>
      <c r="B14" s="7" t="s">
        <v>37</v>
      </c>
      <c r="C14" s="7" t="s">
        <v>29</v>
      </c>
      <c r="D14" s="13" t="n">
        <v>1.8</v>
      </c>
      <c r="E14" s="13" t="n">
        <v>6.4</v>
      </c>
      <c r="F14" s="13" t="n">
        <v>13.2</v>
      </c>
      <c r="G14" s="13" t="n">
        <v>35</v>
      </c>
      <c r="H14" s="13" t="n">
        <v>45.8</v>
      </c>
      <c r="I14" s="13" t="n">
        <v>53.7</v>
      </c>
      <c r="J14" s="13" t="n">
        <v>26.4</v>
      </c>
      <c r="K14" s="13" t="n">
        <v>45</v>
      </c>
      <c r="L14" s="13" t="n">
        <v>26.5</v>
      </c>
      <c r="M14" s="13" t="n">
        <v>11.7</v>
      </c>
      <c r="N14" s="13" t="n">
        <v>19.1</v>
      </c>
      <c r="O14" s="13" t="n">
        <v>22.7</v>
      </c>
      <c r="P14" s="13" t="n">
        <v>38.3</v>
      </c>
      <c r="Q14" s="13" t="n">
        <v>20.8</v>
      </c>
      <c r="R14" s="13" t="n">
        <v>7.5</v>
      </c>
      <c r="S14" s="16" t="n">
        <v>373.9</v>
      </c>
    </row>
    <row r="15" customFormat="false" ht="15" hidden="false" customHeight="false" outlineLevel="0" collapsed="false">
      <c r="A15" s="17" t="s">
        <v>39</v>
      </c>
      <c r="B15" s="17" t="s">
        <v>37</v>
      </c>
      <c r="C15" s="17" t="s">
        <v>31</v>
      </c>
      <c r="D15" s="18" t="n">
        <v>5.2</v>
      </c>
      <c r="E15" s="18" t="n">
        <v>9.1</v>
      </c>
      <c r="F15" s="18" t="n">
        <v>17.2</v>
      </c>
      <c r="G15" s="18" t="n">
        <v>34.8</v>
      </c>
      <c r="H15" s="18" t="n">
        <v>55.4</v>
      </c>
      <c r="I15" s="18" t="n">
        <v>52.5</v>
      </c>
      <c r="J15" s="18" t="n">
        <v>29.1</v>
      </c>
      <c r="K15" s="18" t="n">
        <v>47.3</v>
      </c>
      <c r="L15" s="18" t="n">
        <v>40.8</v>
      </c>
      <c r="M15" s="18" t="n">
        <v>16.1</v>
      </c>
      <c r="N15" s="18" t="n">
        <v>29.8</v>
      </c>
      <c r="O15" s="18" t="n">
        <v>27.9</v>
      </c>
      <c r="P15" s="18" t="n">
        <v>46.2</v>
      </c>
      <c r="Q15" s="18" t="n">
        <v>30</v>
      </c>
      <c r="R15" s="18" t="n">
        <v>12.1</v>
      </c>
      <c r="S15" s="19" t="n">
        <v>453.7</v>
      </c>
    </row>
    <row r="16" customFormat="false" ht="15" hidden="false" customHeight="false" outlineLevel="0" collapsed="false">
      <c r="A16" s="7" t="s">
        <v>40</v>
      </c>
      <c r="B16" s="7" t="s">
        <v>41</v>
      </c>
      <c r="C16" s="7" t="s">
        <v>26</v>
      </c>
      <c r="D16" s="13" t="n">
        <v>15</v>
      </c>
      <c r="E16" s="13" t="n">
        <v>11.8</v>
      </c>
      <c r="F16" s="13" t="n">
        <v>20.1</v>
      </c>
      <c r="G16" s="13" t="n">
        <v>77.2</v>
      </c>
      <c r="H16" s="13" t="n">
        <v>75</v>
      </c>
      <c r="I16" s="13" t="n">
        <v>73.1</v>
      </c>
      <c r="J16" s="13" t="n">
        <v>39.7</v>
      </c>
      <c r="K16" s="13" t="n">
        <v>69.3</v>
      </c>
      <c r="L16" s="13" t="n">
        <v>7.9</v>
      </c>
      <c r="M16" s="13" t="n">
        <v>10.7</v>
      </c>
      <c r="N16" s="13" t="n">
        <v>42.1</v>
      </c>
      <c r="O16" s="13" t="n">
        <v>19.3</v>
      </c>
      <c r="P16" s="13" t="n">
        <v>103.2</v>
      </c>
      <c r="Q16" s="13" t="n">
        <v>75.3</v>
      </c>
      <c r="R16" s="13" t="n">
        <v>23.6</v>
      </c>
      <c r="S16" s="16" t="n">
        <v>663.4</v>
      </c>
    </row>
    <row r="17" customFormat="false" ht="15" hidden="false" customHeight="false" outlineLevel="0" collapsed="false">
      <c r="A17" s="7" t="s">
        <v>42</v>
      </c>
      <c r="B17" s="7" t="s">
        <v>41</v>
      </c>
      <c r="C17" s="7" t="s">
        <v>29</v>
      </c>
      <c r="D17" s="13" t="n">
        <v>28</v>
      </c>
      <c r="E17" s="13" t="n">
        <v>10.9</v>
      </c>
      <c r="F17" s="13" t="n">
        <v>33.1</v>
      </c>
      <c r="G17" s="13" t="n">
        <v>116.7</v>
      </c>
      <c r="H17" s="13" t="n">
        <v>75.5</v>
      </c>
      <c r="I17" s="13" t="n">
        <v>87.9</v>
      </c>
      <c r="J17" s="13" t="n">
        <v>46.6</v>
      </c>
      <c r="K17" s="13" t="n">
        <v>77.9</v>
      </c>
      <c r="L17" s="13" t="n">
        <v>20.1</v>
      </c>
      <c r="M17" s="13" t="n">
        <v>17.8</v>
      </c>
      <c r="N17" s="13" t="n">
        <v>72.7</v>
      </c>
      <c r="O17" s="13" t="n">
        <v>28</v>
      </c>
      <c r="P17" s="13" t="n">
        <v>127.1</v>
      </c>
      <c r="Q17" s="13" t="n">
        <v>122.4</v>
      </c>
      <c r="R17" s="13" t="n">
        <v>31.9</v>
      </c>
      <c r="S17" s="16" t="n">
        <v>896.4</v>
      </c>
    </row>
    <row r="18" customFormat="false" ht="15" hidden="false" customHeight="false" outlineLevel="0" collapsed="false">
      <c r="A18" s="17" t="s">
        <v>43</v>
      </c>
      <c r="B18" s="17" t="s">
        <v>41</v>
      </c>
      <c r="C18" s="17" t="s">
        <v>31</v>
      </c>
      <c r="D18" s="18" t="n">
        <v>31.5</v>
      </c>
      <c r="E18" s="18" t="n">
        <v>13.5</v>
      </c>
      <c r="F18" s="18" t="n">
        <v>35.4</v>
      </c>
      <c r="G18" s="18" t="n">
        <v>117.5</v>
      </c>
      <c r="H18" s="18" t="n">
        <v>76.6</v>
      </c>
      <c r="I18" s="18" t="n">
        <v>90.5</v>
      </c>
      <c r="J18" s="18" t="n">
        <v>46.5</v>
      </c>
      <c r="K18" s="18" t="n">
        <v>80.5</v>
      </c>
      <c r="L18" s="18" t="n">
        <v>30.1</v>
      </c>
      <c r="M18" s="18" t="n">
        <v>22.9</v>
      </c>
      <c r="N18" s="18" t="n">
        <v>77</v>
      </c>
      <c r="O18" s="18" t="n">
        <v>27</v>
      </c>
      <c r="P18" s="18" t="n">
        <v>132.5</v>
      </c>
      <c r="Q18" s="18" t="n">
        <v>138.6</v>
      </c>
      <c r="R18" s="18" t="n">
        <v>36.7</v>
      </c>
      <c r="S18" s="19" t="n">
        <v>956.9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0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" t="s">
        <v>128</v>
      </c>
    </row>
    <row r="2" customFormat="false" ht="15" hidden="false" customHeight="false" outlineLevel="0" collapsed="false">
      <c r="A2" s="2" t="s">
        <v>129</v>
      </c>
    </row>
    <row r="4" customFormat="false" ht="15" hidden="false" customHeight="false" outlineLevel="0" collapsed="false">
      <c r="A4" s="5" t="s">
        <v>130</v>
      </c>
    </row>
    <row r="5" customFormat="false" ht="23.85" hidden="false" customHeight="false" outlineLevel="0" collapsed="false">
      <c r="A5" s="6" t="s">
        <v>131</v>
      </c>
      <c r="B5" s="6" t="s">
        <v>132</v>
      </c>
      <c r="C5" s="6" t="s">
        <v>133</v>
      </c>
      <c r="D5" s="6" t="s">
        <v>134</v>
      </c>
      <c r="E5" s="6" t="s">
        <v>135</v>
      </c>
    </row>
    <row r="6" customFormat="false" ht="15" hidden="false" customHeight="false" outlineLevel="0" collapsed="false">
      <c r="A6" s="7" t="s">
        <v>62</v>
      </c>
      <c r="B6" s="13" t="n">
        <v>4641.9</v>
      </c>
      <c r="C6" s="15" t="n">
        <v>4800</v>
      </c>
      <c r="D6" s="20" t="n">
        <v>0.967</v>
      </c>
      <c r="E6" s="7" t="s">
        <v>136</v>
      </c>
    </row>
    <row r="7" customFormat="false" ht="15" hidden="false" customHeight="false" outlineLevel="0" collapsed="false">
      <c r="A7" s="7" t="s">
        <v>66</v>
      </c>
      <c r="B7" s="13" t="n">
        <v>1970</v>
      </c>
      <c r="C7" s="15" t="n">
        <v>1900</v>
      </c>
      <c r="D7" s="20" t="n">
        <v>1.037</v>
      </c>
      <c r="E7" s="7" t="s">
        <v>136</v>
      </c>
    </row>
    <row r="8" customFormat="false" ht="15" hidden="false" customHeight="false" outlineLevel="0" collapsed="false">
      <c r="A8" s="7" t="s">
        <v>69</v>
      </c>
      <c r="B8" s="13" t="n">
        <v>1156.6</v>
      </c>
      <c r="C8" s="15" t="n">
        <v>1200</v>
      </c>
      <c r="D8" s="20" t="n">
        <v>0.964</v>
      </c>
      <c r="E8" s="7" t="s">
        <v>136</v>
      </c>
    </row>
    <row r="9" customFormat="false" ht="15" hidden="false" customHeight="false" outlineLevel="0" collapsed="false">
      <c r="A9" s="7" t="s">
        <v>72</v>
      </c>
      <c r="B9" s="13" t="n">
        <v>4531.2</v>
      </c>
      <c r="C9" s="15" t="n">
        <v>4500</v>
      </c>
      <c r="D9" s="20" t="n">
        <v>1.007</v>
      </c>
      <c r="E9" s="7" t="s">
        <v>136</v>
      </c>
    </row>
    <row r="10" customFormat="false" ht="15" hidden="false" customHeight="false" outlineLevel="0" collapsed="false">
      <c r="A10" s="7" t="s">
        <v>75</v>
      </c>
      <c r="B10" s="13" t="n">
        <v>770.6</v>
      </c>
      <c r="C10" s="15" t="n">
        <v>800</v>
      </c>
      <c r="D10" s="20" t="n">
        <v>0.963</v>
      </c>
      <c r="E10" s="7" t="s">
        <v>136</v>
      </c>
    </row>
    <row r="11" customFormat="false" ht="15" hidden="false" customHeight="false" outlineLevel="0" collapsed="false">
      <c r="A11" s="7" t="s">
        <v>78</v>
      </c>
      <c r="B11" s="13" t="n">
        <v>813</v>
      </c>
      <c r="C11" s="15" t="n">
        <v>900</v>
      </c>
      <c r="D11" s="20" t="n">
        <v>0.903</v>
      </c>
      <c r="E11" s="7" t="s">
        <v>137</v>
      </c>
    </row>
    <row r="12" customFormat="false" ht="15" hidden="false" customHeight="false" outlineLevel="0" collapsed="false">
      <c r="A12" s="7" t="s">
        <v>81</v>
      </c>
      <c r="B12" s="13" t="n">
        <v>126.2</v>
      </c>
      <c r="C12" s="15" t="n">
        <v>130</v>
      </c>
      <c r="D12" s="20" t="n">
        <v>0.971</v>
      </c>
      <c r="E12" s="7" t="s">
        <v>136</v>
      </c>
    </row>
    <row r="13" customFormat="false" ht="15" hidden="false" customHeight="false" outlineLevel="0" collapsed="false">
      <c r="A13" s="7" t="s">
        <v>84</v>
      </c>
      <c r="B13" s="13" t="n">
        <v>1262.3</v>
      </c>
      <c r="C13" s="15" t="n">
        <v>1300</v>
      </c>
      <c r="D13" s="20" t="n">
        <v>0.971</v>
      </c>
      <c r="E13" s="7" t="s">
        <v>136</v>
      </c>
    </row>
    <row r="15" customFormat="false" ht="15" hidden="false" customHeight="false" outlineLevel="0" collapsed="false">
      <c r="A15" s="5" t="s">
        <v>138</v>
      </c>
    </row>
    <row r="16" customFormat="false" ht="15" hidden="false" customHeight="false" outlineLevel="0" collapsed="false">
      <c r="A16" s="6" t="s">
        <v>139</v>
      </c>
      <c r="B16" s="6" t="s">
        <v>140</v>
      </c>
      <c r="C16" s="6" t="s">
        <v>141</v>
      </c>
    </row>
    <row r="17" customFormat="false" ht="15" hidden="false" customHeight="false" outlineLevel="0" collapsed="false">
      <c r="A17" s="7" t="s">
        <v>142</v>
      </c>
      <c r="B17" s="7" t="s">
        <v>143</v>
      </c>
      <c r="C17" s="7" t="s">
        <v>144</v>
      </c>
    </row>
    <row r="18" customFormat="false" ht="15" hidden="false" customHeight="false" outlineLevel="0" collapsed="false">
      <c r="A18" s="7" t="s">
        <v>145</v>
      </c>
      <c r="B18" s="7" t="s">
        <v>146</v>
      </c>
      <c r="C18" s="7" t="s">
        <v>147</v>
      </c>
    </row>
    <row r="19" customFormat="false" ht="15" hidden="false" customHeight="false" outlineLevel="0" collapsed="false">
      <c r="A19" s="7" t="s">
        <v>148</v>
      </c>
      <c r="B19" s="7" t="s">
        <v>149</v>
      </c>
      <c r="C19" s="21" t="s">
        <v>150</v>
      </c>
    </row>
    <row r="20" customFormat="false" ht="15" hidden="false" customHeight="false" outlineLevel="0" collapsed="false">
      <c r="A20" s="7" t="s">
        <v>151</v>
      </c>
      <c r="B20" s="7" t="s">
        <v>152</v>
      </c>
      <c r="C20" s="7" t="s">
        <v>144</v>
      </c>
    </row>
    <row r="21" customFormat="false" ht="15" hidden="false" customHeight="false" outlineLevel="0" collapsed="false">
      <c r="A21" s="7" t="s">
        <v>153</v>
      </c>
      <c r="B21" s="7" t="s">
        <v>154</v>
      </c>
      <c r="C21" s="7" t="s">
        <v>144</v>
      </c>
    </row>
    <row r="22" customFormat="false" ht="15" hidden="false" customHeight="false" outlineLevel="0" collapsed="false">
      <c r="A22" s="7" t="s">
        <v>155</v>
      </c>
      <c r="B22" s="7" t="s">
        <v>156</v>
      </c>
      <c r="C22" s="7" t="s">
        <v>157</v>
      </c>
    </row>
    <row r="23" customFormat="false" ht="15" hidden="false" customHeight="false" outlineLevel="0" collapsed="false">
      <c r="A23" s="7" t="s">
        <v>158</v>
      </c>
      <c r="B23" s="7" t="s">
        <v>159</v>
      </c>
      <c r="C23" s="7" t="s">
        <v>144</v>
      </c>
    </row>
    <row r="25" customFormat="false" ht="15" hidden="false" customHeight="false" outlineLevel="0" collapsed="false">
      <c r="A25" s="5" t="s">
        <v>160</v>
      </c>
    </row>
    <row r="26" customFormat="false" ht="15" hidden="false" customHeight="false" outlineLevel="0" collapsed="false">
      <c r="A26" s="6" t="s">
        <v>161</v>
      </c>
      <c r="B26" s="6" t="s">
        <v>162</v>
      </c>
      <c r="C26" s="6" t="s">
        <v>163</v>
      </c>
    </row>
    <row r="27" customFormat="false" ht="15" hidden="false" customHeight="false" outlineLevel="0" collapsed="false">
      <c r="A27" s="7" t="s">
        <v>164</v>
      </c>
      <c r="B27" s="7" t="n">
        <v>36</v>
      </c>
      <c r="C27" s="7" t="s">
        <v>165</v>
      </c>
    </row>
    <row r="28" customFormat="false" ht="15" hidden="false" customHeight="false" outlineLevel="0" collapsed="false">
      <c r="A28" s="7" t="s">
        <v>166</v>
      </c>
      <c r="B28" s="7" t="n">
        <v>44</v>
      </c>
      <c r="C28" s="7" t="s">
        <v>165</v>
      </c>
    </row>
    <row r="29" customFormat="false" ht="15" hidden="false" customHeight="false" outlineLevel="0" collapsed="false">
      <c r="A29" s="7" t="s">
        <v>167</v>
      </c>
      <c r="B29" s="7" t="n">
        <v>38</v>
      </c>
      <c r="C29" s="7" t="s">
        <v>165</v>
      </c>
    </row>
    <row r="30" customFormat="false" ht="15" hidden="false" customHeight="false" outlineLevel="0" collapsed="false">
      <c r="A30" s="7" t="s">
        <v>168</v>
      </c>
      <c r="B30" s="7" t="n">
        <v>37</v>
      </c>
      <c r="C30" s="7" t="s">
        <v>165</v>
      </c>
    </row>
    <row r="31" customFormat="false" ht="15" hidden="false" customHeight="false" outlineLevel="0" collapsed="false">
      <c r="A31" s="7" t="s">
        <v>169</v>
      </c>
      <c r="B31" s="7" t="n">
        <v>44</v>
      </c>
      <c r="C31" s="7" t="s">
        <v>165</v>
      </c>
    </row>
    <row r="32" customFormat="false" ht="15" hidden="false" customHeight="false" outlineLevel="0" collapsed="false">
      <c r="A32" s="7" t="s">
        <v>170</v>
      </c>
      <c r="B32" s="7" t="n">
        <v>36</v>
      </c>
      <c r="C32" s="7" t="s">
        <v>165</v>
      </c>
    </row>
    <row r="33" customFormat="false" ht="15" hidden="false" customHeight="false" outlineLevel="0" collapsed="false">
      <c r="A33" s="7" t="s">
        <v>171</v>
      </c>
      <c r="B33" s="7" t="n">
        <v>38</v>
      </c>
      <c r="C33" s="7" t="s">
        <v>165</v>
      </c>
    </row>
    <row r="34" customFormat="false" ht="15" hidden="false" customHeight="false" outlineLevel="0" collapsed="false">
      <c r="A34" s="7" t="s">
        <v>172</v>
      </c>
      <c r="B34" s="7" t="n">
        <v>36</v>
      </c>
      <c r="C34" s="7" t="s">
        <v>165</v>
      </c>
    </row>
    <row r="35" customFormat="false" ht="15" hidden="false" customHeight="false" outlineLevel="0" collapsed="false">
      <c r="A35" s="7" t="s">
        <v>173</v>
      </c>
      <c r="B35" s="7" t="n">
        <v>44</v>
      </c>
      <c r="C35" s="7" t="s">
        <v>165</v>
      </c>
    </row>
    <row r="36" customFormat="false" ht="15" hidden="false" customHeight="false" outlineLevel="0" collapsed="false">
      <c r="A36" s="7" t="s">
        <v>174</v>
      </c>
      <c r="B36" s="7" t="n">
        <v>44</v>
      </c>
      <c r="C36" s="7" t="s">
        <v>165</v>
      </c>
    </row>
    <row r="37" customFormat="false" ht="15" hidden="false" customHeight="false" outlineLevel="0" collapsed="false">
      <c r="A37" s="7" t="s">
        <v>175</v>
      </c>
      <c r="B37" s="7" t="n">
        <v>36</v>
      </c>
      <c r="C37" s="7" t="s">
        <v>165</v>
      </c>
    </row>
    <row r="38" customFormat="false" ht="15" hidden="false" customHeight="false" outlineLevel="0" collapsed="false">
      <c r="A38" s="7" t="s">
        <v>176</v>
      </c>
      <c r="B38" s="7" t="n">
        <v>38</v>
      </c>
      <c r="C38" s="7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177</v>
      </c>
    </row>
    <row r="2" customFormat="false" ht="15" hidden="false" customHeight="false" outlineLevel="0" collapsed="false">
      <c r="A2" s="2" t="s">
        <v>178</v>
      </c>
    </row>
    <row r="4" customFormat="false" ht="15" hidden="false" customHeight="false" outlineLevel="0" collapsed="false">
      <c r="A4" s="6" t="s">
        <v>179</v>
      </c>
      <c r="B4" s="6" t="s">
        <v>23</v>
      </c>
      <c r="C4" s="6" t="s">
        <v>180</v>
      </c>
      <c r="D4" s="6" t="s">
        <v>181</v>
      </c>
      <c r="E4" s="6" t="s">
        <v>182</v>
      </c>
      <c r="F4" s="6" t="s">
        <v>183</v>
      </c>
    </row>
    <row r="5" customFormat="false" ht="23.85" hidden="false" customHeight="false" outlineLevel="0" collapsed="false">
      <c r="A5" s="22" t="s">
        <v>184</v>
      </c>
      <c r="B5" s="22" t="s">
        <v>185</v>
      </c>
      <c r="C5" s="22" t="s">
        <v>186</v>
      </c>
      <c r="D5" s="22" t="s">
        <v>187</v>
      </c>
      <c r="E5" s="22" t="s">
        <v>188</v>
      </c>
      <c r="F5" s="22" t="s">
        <v>189</v>
      </c>
    </row>
    <row r="6" customFormat="false" ht="23.85" hidden="false" customHeight="false" outlineLevel="0" collapsed="false">
      <c r="A6" s="22" t="s">
        <v>190</v>
      </c>
      <c r="B6" s="22" t="s">
        <v>64</v>
      </c>
      <c r="C6" s="22" t="s">
        <v>191</v>
      </c>
      <c r="D6" s="22" t="s">
        <v>192</v>
      </c>
      <c r="E6" s="22" t="s">
        <v>193</v>
      </c>
      <c r="F6" s="22" t="s">
        <v>194</v>
      </c>
    </row>
    <row r="7" customFormat="false" ht="23.85" hidden="false" customHeight="false" outlineLevel="0" collapsed="false">
      <c r="A7" s="22" t="s">
        <v>195</v>
      </c>
      <c r="B7" s="22" t="s">
        <v>196</v>
      </c>
      <c r="C7" s="22" t="s">
        <v>191</v>
      </c>
      <c r="D7" s="22" t="s">
        <v>197</v>
      </c>
      <c r="E7" s="22" t="s">
        <v>198</v>
      </c>
      <c r="F7" s="22" t="s">
        <v>199</v>
      </c>
    </row>
    <row r="8" customFormat="false" ht="35.05" hidden="false" customHeight="false" outlineLevel="0" collapsed="false">
      <c r="A8" s="22" t="s">
        <v>200</v>
      </c>
      <c r="B8" s="22" t="s">
        <v>201</v>
      </c>
      <c r="C8" s="22" t="s">
        <v>202</v>
      </c>
      <c r="D8" s="22" t="s">
        <v>203</v>
      </c>
      <c r="E8" s="22" t="s">
        <v>204</v>
      </c>
      <c r="F8" s="22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B8EB67883F9C4AA4534F5269849BBD" ma:contentTypeVersion="10" ma:contentTypeDescription="Crear nuevo documento." ma:contentTypeScope="" ma:versionID="2546235542583e8b2ff2cc2f7947903c">
  <xsd:schema xmlns:xsd="http://www.w3.org/2001/XMLSchema" xmlns:xs="http://www.w3.org/2001/XMLSchema" xmlns:p="http://schemas.microsoft.com/office/2006/metadata/properties" xmlns:ns2="ee5d6ee9-6b90-4973-875c-30ee5d95ff57" xmlns:ns3="a2e62541-ed63-42e0-be49-5b4b52f4e389" targetNamespace="http://schemas.microsoft.com/office/2006/metadata/properties" ma:root="true" ma:fieldsID="9a1af3dc47ff3566ad41f62fd65c9ee6" ns2:_="" ns3:_="">
    <xsd:import namespace="ee5d6ee9-6b90-4973-875c-30ee5d95ff57"/>
    <xsd:import namespace="a2e62541-ed63-42e0-be49-5b4b52f4e3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5d6ee9-6b90-4973-875c-30ee5d95ff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e62541-ed63-42e0-be49-5b4b52f4e38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abaf6c7-7496-4516-911a-634272e88661}" ma:internalName="TaxCatchAll" ma:showField="CatchAllData" ma:web="a2e62541-ed63-42e0-be49-5b4b52f4e3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e5d6ee9-6b90-4973-875c-30ee5d95ff57">
      <Terms xmlns="http://schemas.microsoft.com/office/infopath/2007/PartnerControls"/>
    </lcf76f155ced4ddcb4097134ff3c332f>
    <TaxCatchAll xmlns="a2e62541-ed63-42e0-be49-5b4b52f4e389" xsi:nil="true"/>
  </documentManagement>
</p:properties>
</file>

<file path=customXml/itemProps1.xml><?xml version="1.0" encoding="utf-8"?>
<ds:datastoreItem xmlns:ds="http://schemas.openxmlformats.org/officeDocument/2006/customXml" ds:itemID="{ECF09881-8F68-41C0-8C8F-6324C43B83C0}"/>
</file>

<file path=customXml/itemProps2.xml><?xml version="1.0" encoding="utf-8"?>
<ds:datastoreItem xmlns:ds="http://schemas.openxmlformats.org/officeDocument/2006/customXml" ds:itemID="{C65A3363-2582-43E0-A521-03764A40F582}"/>
</file>

<file path=customXml/itemProps3.xml><?xml version="1.0" encoding="utf-8"?>
<ds:datastoreItem xmlns:ds="http://schemas.openxmlformats.org/officeDocument/2006/customXml" ds:itemID="{1D47E4C0-C7DD-400D-98A9-3E8A12E180D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description/>
  <cp:lastModifiedBy/>
  <cp:revision>0</cp:revision>
  <dcterms:created xsi:type="dcterms:W3CDTF">2026-03-12T07:53:23Z</dcterms:created>
  <dcterms:modified xsi:type="dcterms:W3CDTF">2026-03-12T07:53:23Z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0x0101002FB8EB67883F9C4AA4534F5269849BBD</vt:lpwstr>
  </property>
  <property fmtid="{D5CDD505-2E9C-101B-9397-08002B2CF9AE}" pid="3" name="MediaServiceImageTags">
    <vt:lpwstr/>
  </property>
</Properties>
</file>