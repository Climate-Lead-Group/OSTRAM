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_PACKAGE_V1/more_timeslices/"/>
    </mc:Choice>
  </mc:AlternateContent>
  <xr:revisionPtr revIDLastSave="0" documentId="11_D224908D79AAD16A9BE89D270792BD403858FE09" xr6:coauthVersionLast="47" xr6:coauthVersionMax="47" xr10:uidLastSave="{00000000-0000-0000-0000-000000000000}"/>
  <bookViews>
    <workbookView xWindow="-23148" yWindow="-1572" windowWidth="23256" windowHeight="12456" tabRatio="500" activeTab="2" xr2:uid="{00000000-000D-0000-FFFF-FFFF00000000}"/>
  </bookViews>
  <sheets>
    <sheet name="1_OSTRAM_Profiles" sheetId="1" r:id="rId1"/>
    <sheet name="2_Monthly_Demand" sheetId="2" r:id="rId2"/>
    <sheet name="3_NREL_Hourly" sheetId="3" r:id="rId3"/>
    <sheet name="4_NDOR_Analysis" sheetId="4" r:id="rId4"/>
    <sheet name="5_Cross_Validation" sheetId="5" r:id="rId5"/>
    <sheet name="6_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" i="2" l="1"/>
  <c r="I18" i="2"/>
  <c r="H18" i="2"/>
  <c r="G18" i="2"/>
  <c r="F18" i="2"/>
  <c r="E18" i="2"/>
  <c r="D18" i="2"/>
  <c r="C18" i="2"/>
  <c r="B18" i="2"/>
  <c r="E24" i="1"/>
</calcChain>
</file>

<file path=xl/sharedStrings.xml><?xml version="1.0" encoding="utf-8"?>
<sst xmlns="http://schemas.openxmlformats.org/spreadsheetml/2006/main" count="463" uniqueCount="275">
  <si>
    <t>NEPAL — RECOMMENDED OSTRAM TIMESLICE PROFILES</t>
  </si>
  <si>
    <t>Final consolidated values for model parameterisation. Each cell states its source and basis.</t>
  </si>
  <si>
    <t>Date produced</t>
  </si>
  <si>
    <t>March 2026</t>
  </si>
  <si>
    <t>Base year</t>
  </si>
  <si>
    <t>FY 2079/80 (Jul 2022–Jul 2023) monthly energy; FY 2073 (Apr 2016–Apr 2017) hourly profiles</t>
  </si>
  <si>
    <t>Cross-validation</t>
  </si>
  <si>
    <t>818 NDOR daily reports (Oct 2022–Jan 2025) — seasonal shares agree within ±5.5%</t>
  </si>
  <si>
    <t>System</t>
  </si>
  <si>
    <t>Nepal INPS (Integrated Nepal Power System) — single integrated system</t>
  </si>
  <si>
    <t>A. DEMAND FRACTIONS — SpecifiedDemandProfile for OSeMOSYS</t>
  </si>
  <si>
    <t>Seasonal weights: NEA Yearly Summary FY 2079/80 (Energy Requirement by Nepali month, 50/50 split for straddling months). Daypart splits: NREL Table 1 hourly gen-to-load profiles FY 2073.</t>
  </si>
  <si>
    <t>Timeslice</t>
  </si>
  <si>
    <t>Season</t>
  </si>
  <si>
    <t>Band</t>
  </si>
  <si>
    <t>YearSplit</t>
  </si>
  <si>
    <t>Demand Fraction</t>
  </si>
  <si>
    <t>Avg MWh/day</t>
  </si>
  <si>
    <t>Season GWh</t>
  </si>
  <si>
    <t>Daypart Source</t>
  </si>
  <si>
    <t>Seasonal Source</t>
  </si>
  <si>
    <t>Confidence</t>
  </si>
  <si>
    <t>S1D1</t>
  </si>
  <si>
    <t>Winter (Dec-Feb)</t>
  </si>
  <si>
    <t>Night (00-06)</t>
  </si>
  <si>
    <t>NREL Table 1 FY 2073 [DATA]</t>
  </si>
  <si>
    <t>NEA Yearly Summary FY 2079/80 [DATA]</t>
  </si>
  <si>
    <t>HIGH</t>
  </si>
  <si>
    <t>S1D2</t>
  </si>
  <si>
    <t>Day (06-18)</t>
  </si>
  <si>
    <t>S1D3</t>
  </si>
  <si>
    <t>Evening (18-24)</t>
  </si>
  <si>
    <t>S2D1</t>
  </si>
  <si>
    <t>Pre-monsoon (Mar-May)</t>
  </si>
  <si>
    <t>S2D2</t>
  </si>
  <si>
    <t>S2D3</t>
  </si>
  <si>
    <t>S3D1</t>
  </si>
  <si>
    <t>SW Monsoon (Jun-Sep)</t>
  </si>
  <si>
    <t>S3D2</t>
  </si>
  <si>
    <t>S3D3</t>
  </si>
  <si>
    <t>S4D1</t>
  </si>
  <si>
    <t>Post-monsoon (Oct-Nov)</t>
  </si>
  <si>
    <t>S4D2</t>
  </si>
  <si>
    <t>S4D3</t>
  </si>
  <si>
    <t>TOTAL</t>
  </si>
  <si>
    <t>B. HYDRO CAPACITY FACTORS — CapacityFactor for Run-of-River &amp; Storage hydro</t>
  </si>
  <si>
    <t>RoR seasonal shape: NEA Yearly Summary generation by month (NEA+Subsidiary+IPP) mapped to seasons. Storage shape: estimated from Kulekhani dispatch pattern + literature.</t>
  </si>
  <si>
    <t>RoR CF (HYRORNP)</t>
  </si>
  <si>
    <t>Storage CF (HYSTORNP)</t>
  </si>
  <si>
    <t>RoR Source</t>
  </si>
  <si>
    <t>Storage Source</t>
  </si>
  <si>
    <t>NEA FY2079/80 gen + NREL hourly shape [DATA+EST]</t>
  </si>
  <si>
    <t>Kulekhani dispatch pattern [ESTIMATED]</t>
  </si>
  <si>
    <t>MEDIUM</t>
  </si>
  <si>
    <t>MEDIUM-HIGH</t>
  </si>
  <si>
    <t>NEPAL — MONTHLY ENERGY: NEA YEARLY SUMMARY FY 2079/80</t>
  </si>
  <si>
    <t>Source: NEA System Operation Department, LDC. Yearly Operational Report FY 2079/80 (Provisional). URL: nea.org.np/admin/assets/uploads/ldc/Yearly%20Summary%202079_80.pdf</t>
  </si>
  <si>
    <t>Note: "Energy Requirement" = INPS Demand + Interruption + Deficit. This is the best proxy for true unconstrained demand.</t>
  </si>
  <si>
    <t>Month (Nepali)</t>
  </si>
  <si>
    <t>NEA Gen (MWh)</t>
  </si>
  <si>
    <t>Subsidiary Gen (MWh)</t>
  </si>
  <si>
    <t>IPP Gen (MWh)</t>
  </si>
  <si>
    <t>Import (MWh)</t>
  </si>
  <si>
    <t>Total Available (MWh)</t>
  </si>
  <si>
    <t>Export (MWh)</t>
  </si>
  <si>
    <t>INPS Demand (MWh)</t>
  </si>
  <si>
    <t>Interruption (MWh)</t>
  </si>
  <si>
    <t>Energy Requirement (MWh)</t>
  </si>
  <si>
    <t>OSTRAM Season(s)</t>
  </si>
  <si>
    <t>Season Fraction</t>
  </si>
  <si>
    <t>Shrawan</t>
  </si>
  <si>
    <t>S3 (100%)</t>
  </si>
  <si>
    <t>Bhadra</t>
  </si>
  <si>
    <t>Ashwin</t>
  </si>
  <si>
    <t>S3(50%)/S4(50%)</t>
  </si>
  <si>
    <t>Kartik</t>
  </si>
  <si>
    <t>S4 (100%)</t>
  </si>
  <si>
    <t>Mangsir</t>
  </si>
  <si>
    <t>S4(50%)/S1(50%)</t>
  </si>
  <si>
    <t>Poush</t>
  </si>
  <si>
    <t>S1 (100%)</t>
  </si>
  <si>
    <t>Magh</t>
  </si>
  <si>
    <t>Falgun</t>
  </si>
  <si>
    <t>S1(50%)/S2(50%)</t>
  </si>
  <si>
    <t>Chaitra</t>
  </si>
  <si>
    <t>S2 (100%)</t>
  </si>
  <si>
    <t>Baisakh</t>
  </si>
  <si>
    <t>Jestha</t>
  </si>
  <si>
    <t>S2(50%)/S3(50%)</t>
  </si>
  <si>
    <t>Ashar</t>
  </si>
  <si>
    <t>NEPAL — HOURLY GENERATION PROFILES (NREL Table 1, FY 2073)</t>
  </si>
  <si>
    <t>Source: Hurlbut, D.J. (2019). Cross-Border Energy Trade between Nepal and India. NREL/TP-6A20-72345, Table 1 (page 7).</t>
  </si>
  <si>
    <t>URL: https://www.nrel.gov/docs/fy19osti/72345.pdf</t>
  </si>
  <si>
    <t>Values are average MW of generation delivered to load, by hour and Nepali month, April 2016–April 2017. Used for daypart (D1/D2/D3) weight derivation.</t>
  </si>
  <si>
    <t>Caveat: Pre-Upper Tamakoshi era. Daily load SHAPE is still broadly applicable; absolute MW levels are outdated. Generation ≈ constrained demand (load shedding suppresses served load).</t>
  </si>
  <si>
    <t>Hour</t>
  </si>
  <si>
    <t>Daypart</t>
  </si>
  <si>
    <t>00:00–01:00</t>
  </si>
  <si>
    <t>D1</t>
  </si>
  <si>
    <t>01:00–02:00</t>
  </si>
  <si>
    <t>02:00–03:00</t>
  </si>
  <si>
    <t>03:00–04:00</t>
  </si>
  <si>
    <t>04:00–05:00</t>
  </si>
  <si>
    <t>05:00–06:00</t>
  </si>
  <si>
    <t>06:00–07:00</t>
  </si>
  <si>
    <t>D2</t>
  </si>
  <si>
    <t>07:00–08:00</t>
  </si>
  <si>
    <t>08:00–09:00</t>
  </si>
  <si>
    <t>09:00–10:00</t>
  </si>
  <si>
    <t>10:00–11:00</t>
  </si>
  <si>
    <t>11:00–12:00</t>
  </si>
  <si>
    <t>12:00–13:00</t>
  </si>
  <si>
    <t>13:00–14:00</t>
  </si>
  <si>
    <t>14:00–15:00</t>
  </si>
  <si>
    <t>15:00–16:00</t>
  </si>
  <si>
    <t>16:00–17:00</t>
  </si>
  <si>
    <t>17:00–18:00</t>
  </si>
  <si>
    <t>18:00–19:00</t>
  </si>
  <si>
    <t>D3</t>
  </si>
  <si>
    <t>19:00–20:00</t>
  </si>
  <si>
    <t>20:00–21:00</t>
  </si>
  <si>
    <t>21:00–22:00</t>
  </si>
  <si>
    <t>22:00–23:00</t>
  </si>
  <si>
    <t>23:00–24:00</t>
  </si>
  <si>
    <t>NEPAL — NDOR DAILY OPERATIONAL REPORT ANALYSIS (818 DAYS)</t>
  </si>
  <si>
    <t>Source: NEA System Operation Department, LDC. Daily Operational Reports, 2022-10-10 to 2025-01-11.</t>
  </si>
  <si>
    <t>URL: https://www.nea.org.np/dailyOperationalReports</t>
  </si>
  <si>
    <t>Processing: 868 PDFs downloaded via browser, 818 parsed successfully (6 corrupted). Two format variants handled (2079: 10-col, 2080+: 11-col).</t>
  </si>
  <si>
    <t>A. SEASONAL SUMMARY FROM NDOR</t>
  </si>
  <si>
    <t>Days</t>
  </si>
  <si>
    <t>Avg Requirement (MWh/day)</t>
  </si>
  <si>
    <t>Avg INPS Demand (MWh/day)</t>
  </si>
  <si>
    <t>Avg Import (MWh/day)</t>
  </si>
  <si>
    <t>Avg Export (MWh/day)</t>
  </si>
  <si>
    <t>Avg Interruption (MWh/day)</t>
  </si>
  <si>
    <t>Shedding Days (%)</t>
  </si>
  <si>
    <t>Avg Peak Time</t>
  </si>
  <si>
    <t>Avg Peak Demand (MW)</t>
  </si>
  <si>
    <t>S1 Winter</t>
  </si>
  <si>
    <t>89%</t>
  </si>
  <si>
    <t>18:06</t>
  </si>
  <si>
    <t>S2 Pre-monsoon</t>
  </si>
  <si>
    <t>97%</t>
  </si>
  <si>
    <t>19:00</t>
  </si>
  <si>
    <t>S3 SW Monsoon</t>
  </si>
  <si>
    <t>65%</t>
  </si>
  <si>
    <t>19:08</t>
  </si>
  <si>
    <t>S4 Post-monsoon</t>
  </si>
  <si>
    <t>51%</t>
  </si>
  <si>
    <t>18:09</t>
  </si>
  <si>
    <t>B. IMPORT/EXPORT PATTERN (validates Nepal power system narrative)</t>
  </si>
  <si>
    <t>Direction</t>
  </si>
  <si>
    <t>Avg Net Exchange (MWh/day)</t>
  </si>
  <si>
    <t>Interpretation</t>
  </si>
  <si>
    <t>NET IMPORTER</t>
  </si>
  <si>
    <t>+7,082</t>
  </si>
  <si>
    <t>Dry season: RoR at 20-30% capacity, heavy reliance on India imports</t>
  </si>
  <si>
    <t>+10,880</t>
  </si>
  <si>
    <t>Peak import season: Baisakh has highest imports (396 GWh/month in FY 2079/80)</t>
  </si>
  <si>
    <t>NET EXPORTER</t>
  </si>
  <si>
    <t>-9,812</t>
  </si>
  <si>
    <t>Monsoon surplus: RoR at 85-90% capacity, exports to India</t>
  </si>
  <si>
    <t>-9,047</t>
  </si>
  <si>
    <t>Post-monsoon: reservoirs full, RoR declining but still surplus</t>
  </si>
  <si>
    <t>C. YEAR-OVER-YEAR DEMAND GROWTH</t>
  </si>
  <si>
    <t>Year</t>
  </si>
  <si>
    <t>Days in Dataset</t>
  </si>
  <si>
    <t>Notes</t>
  </si>
  <si>
    <t>Partial (Oct-Dec only)</t>
  </si>
  <si>
    <t>Near-complete year</t>
  </si>
  <si>
    <t>Near-complete year; ~9.4% growth over 2023</t>
  </si>
  <si>
    <t>Jan 1-11 only</t>
  </si>
  <si>
    <t>NEPAL — CROSS-VALIDATION LOG</t>
  </si>
  <si>
    <t>Compares seasonal demand shares from two independent sources. Agreement within ±5.5% confirms profile robustness.</t>
  </si>
  <si>
    <t>A. SEASONAL SHARE COMPARISON</t>
  </si>
  <si>
    <t>NEA Yearly (FY 2079/80)</t>
  </si>
  <si>
    <t>NDOR Daily (818 days)</t>
  </si>
  <si>
    <t>Difference (%)</t>
  </si>
  <si>
    <t>Assessment</t>
  </si>
  <si>
    <t>S1 Winter (Dec-Feb)</t>
  </si>
  <si>
    <t>+1.2%</t>
  </si>
  <si>
    <t>✓ Excellent agreement</t>
  </si>
  <si>
    <t>S2 Pre-monsoon (Mar-May)</t>
  </si>
  <si>
    <t>-3.9%</t>
  </si>
  <si>
    <t>✓ Good agreement</t>
  </si>
  <si>
    <t>S3 SW Monsoon (Jun-Sep)</t>
  </si>
  <si>
    <t>+0.0%</t>
  </si>
  <si>
    <t>✓ Near-perfect agreement</t>
  </si>
  <si>
    <t>S4 Post-monsoon (Oct-Nov)</t>
  </si>
  <si>
    <t>+5.5%</t>
  </si>
  <si>
    <t>✓ Acceptable (NDOR has more S4 days)</t>
  </si>
  <si>
    <t>B. PEAK TIME VALIDATION (confirms D3 evening peak assignment)</t>
  </si>
  <si>
    <t>NDOR Avg Peak Time</t>
  </si>
  <si>
    <t>NDOR Median Peak Time</t>
  </si>
  <si>
    <t>Top 3 Peak Times</t>
  </si>
  <si>
    <t>Consistent with D3?</t>
  </si>
  <si>
    <t>18:00</t>
  </si>
  <si>
    <t>17:50(48x), 17:55(34x), 18:30(24x)</t>
  </si>
  <si>
    <t>✓ Yes — peak at/after 18:00</t>
  </si>
  <si>
    <t>19:00(26x), 18:50(24x), 18:45(23x)</t>
  </si>
  <si>
    <t>✓ Yes — firmly in D3</t>
  </si>
  <si>
    <t>19:30</t>
  </si>
  <si>
    <t>19:40(41x), 19:35(39x), 19:30(34x)</t>
  </si>
  <si>
    <t>✓ Yes — later sunset shifts peak later</t>
  </si>
  <si>
    <t>18:10</t>
  </si>
  <si>
    <t>18:20(29x), 17:55(21x), 17:50(21x)</t>
  </si>
  <si>
    <t>D2/D3 boundary</t>
  </si>
  <si>
    <t>~ Marginal — some peaks fall in late D2</t>
  </si>
  <si>
    <t>C. KEY FINDING: SEASONAL DEMAND vs SUPPLY MISMATCH</t>
  </si>
  <si>
    <t>The original audit predicted winter should have HIGHEST demand intensity (1.08-1.15x average). Data shows the OPPOSITE:</t>
  </si>
  <si>
    <t>Winter = 0.91x average, Monsoon = 1.13x average. Nepal does NOT have widespread electric heating.</t>
  </si>
  <si>
    <t>The winter crisis is a SUPPLY-side problem (hydro at 20-30%), not demand-side. Monsoon has highest actual consumption.</t>
  </si>
  <si>
    <t>Both NEA Yearly Summary AND 818 NDOR daily reports independently confirm this pattern.</t>
  </si>
  <si>
    <t>NEPAL — COMPLETE SOURCE INDEX</t>
  </si>
  <si>
    <t>Every data point in this workbook traces to one of the sources below.</t>
  </si>
  <si>
    <t>Code</t>
  </si>
  <si>
    <t>Source</t>
  </si>
  <si>
    <t>URL</t>
  </si>
  <si>
    <t>Coverage</t>
  </si>
  <si>
    <t>Sheets Used</t>
  </si>
  <si>
    <t>Key Data</t>
  </si>
  <si>
    <t>[NEA-YS]</t>
  </si>
  <si>
    <t>NEA Yearly Operational Report FY 2079/80</t>
  </si>
  <si>
    <t>https://www.nea.org.np/admin/assets/uploads/ldc/Yearly%20Summary%202079_80.pdf</t>
  </si>
  <si>
    <t>FY 2079/80 (Jul 2022–Jul 2023)</t>
  </si>
  <si>
    <t>1, 2, 5</t>
  </si>
  <si>
    <t>Monthly energy by Nepali month: generation by source, import, export, INPS demand, interruption, deficit, requirement. Peak demand by month.</t>
  </si>
  <si>
    <t>[NDOR]</t>
  </si>
  <si>
    <t>NEA Daily Operational Reports (868 PDFs)</t>
  </si>
  <si>
    <t>https://www.nea.org.np/dailyOperationalReports</t>
  </si>
  <si>
    <t>Oct 2022–Jan 2025 (818 parsed)</t>
  </si>
  <si>
    <t>1, 4, 5</t>
  </si>
  <si>
    <t>Daily: generation by source, import/export, INPS demand, interruption, peak time, peak demand (MW). Cross-validates seasonal shares.</t>
  </si>
  <si>
    <t>[NREL]</t>
  </si>
  <si>
    <t>Hurlbut, D.J. (2019). Cross-Border Energy Trade between Nepal and India. NREL/TP-6A20-72345.</t>
  </si>
  <si>
    <t>https://www.nrel.gov/docs/fy19osti/72345.pdf</t>
  </si>
  <si>
    <t>FY 2073 (Apr 2016–Apr 2017)</t>
  </si>
  <si>
    <t>1, 3</t>
  </si>
  <si>
    <t>Table 1: 24-hour × 12-month generation profiles (MW). Table 4: IEX prices. Table 5: import distribution. Figures 3-4: peak time patterns.</t>
  </si>
  <si>
    <t>[NEA-AR]</t>
  </si>
  <si>
    <t>NEA Annual Report FY 2024/25 (89899842.pdf)</t>
  </si>
  <si>
    <t>https://www.nea.org.np/annual_report</t>
  </si>
  <si>
    <t>FY 2081/82 (2024/25)</t>
  </si>
  <si>
    <t>—</t>
  </si>
  <si>
    <t>System peak 2,901 MW (Ashadh 2082). Generation pattern charts. Installed capacity. 194 pages, mostly image-based charts.</t>
  </si>
  <si>
    <t>[WECS]</t>
  </si>
  <si>
    <t>WECS Energy Synopsis Report 2024</t>
  </si>
  <si>
    <t>https://www.wecs.gov.np</t>
  </si>
  <si>
    <t>2024</t>
  </si>
  <si>
    <t>Internal sales FY 2079/80: 9,358 GWh. Used for narrative context.</t>
  </si>
  <si>
    <t>[KP]</t>
  </si>
  <si>
    <t>Kathmandu Post (news reports)</t>
  </si>
  <si>
    <t>https://kathmandupost.com</t>
  </si>
  <si>
    <t>2023-2024</t>
  </si>
  <si>
    <t>FY 2079/80 trade: imported 1,854 GWh (dry season), exported 1,346 GWh (monsoon). Peak demand records.</t>
  </si>
  <si>
    <t>[ELEC-MAPS]</t>
  </si>
  <si>
    <t>Electricity Maps Nepal Zone (sandbox/API)</t>
  </si>
  <si>
    <t>https://portal.electricitymaps.com/datasets/NP</t>
  </si>
  <si>
    <t>Attempted Mar 2026</t>
  </si>
  <si>
    <t>SANDBOX_MODE_DATA only — intentionally inaccurate for integration testing. Not used for any profiles.</t>
  </si>
  <si>
    <t>PROCESSING PIPELINE</t>
  </si>
  <si>
    <t>Step 1</t>
  </si>
  <si>
    <t>NEA Yearly Summary PDF → manual extraction of monthly energy table (Page 1) and peak demand table (Page 2)</t>
  </si>
  <si>
    <t>Step 2</t>
  </si>
  <si>
    <t>Nepali months mapped to Gregorian seasons using 50/50 split for straddling months (Ashwin, Mangsir, Falgun, Jestha)</t>
  </si>
  <si>
    <t>Step 3</t>
  </si>
  <si>
    <t>NREL Table 1 hourly MW → mapped hours 1-6 to D1, 7-18 to D2, 19-24 to D3 → season-weighted daypart ratios</t>
  </si>
  <si>
    <t>Step 4</t>
  </si>
  <si>
    <t>demand_fraction = seasonal_share × daypart_weight; normalized to sum = 1.0000</t>
  </si>
  <si>
    <t>Step 5</t>
  </si>
  <si>
    <t>868 NDOR PDFs scraped via browser console (JavaScript, 3s delay). Parsed with pdfplumber (Python). Two format variants handled.</t>
  </si>
  <si>
    <t>Step 6</t>
  </si>
  <si>
    <t>NDOR seasonal shares cross-validated against NEA Yearly Summary — agreement within ±5.5%</t>
  </si>
  <si>
    <t>Step 7</t>
  </si>
  <si>
    <t>Scripts: 03_compute_profiles.py (profile computation), 02_parse_ndor.py (NDOR parsing), 01_browser_download.js (scraping)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</si>
</sst>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7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sz val="10"/>
      <color rgb="FFCC66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CCFFCC"/>
        <bgColor rgb="FFCCFFFF"/>
      </patternFill>
    </fill>
    <fill>
      <patternFill patternType="solid">
        <fgColor rgb="FFFFE0B2"/>
        <bgColor rgb="FFFFFF99"/>
      </patternFill>
    </fill>
    <fill>
      <patternFill patternType="solid">
        <fgColor rgb="FFFFFFCC"/>
        <bgColor rgb="FFFFFFFF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64" fontId="1" fillId="0" borderId="0" xfId="0" applyNumberFormat="1" applyFont="1"/>
    <xf numFmtId="2" fontId="4" fillId="0" borderId="1" xfId="0" applyNumberFormat="1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5" fillId="0" borderId="0" xfId="0" applyFont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0" fontId="6" fillId="0" borderId="0" xfId="0" applyFont="1"/>
    <xf numFmtId="0" fontId="4" fillId="0" borderId="1" xfId="0" applyFont="1" applyBorder="1"/>
    <xf numFmtId="0" fontId="4" fillId="6" borderId="1" xfId="0" applyFont="1" applyFill="1" applyBorder="1"/>
    <xf numFmtId="0" fontId="4" fillId="5" borderId="1" xfId="0" applyFont="1" applyFill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4472C4"/>
      <rgbColor rgb="FF33CCCC"/>
      <rgbColor rgb="FF99CC00"/>
      <rgbColor rgb="FFFFCC00"/>
      <rgbColor rgb="FFBF8F00"/>
      <rgbColor rgb="FFCC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J42"/>
  <sheetViews>
    <sheetView topLeftCell="A7" zoomScaleNormal="100" workbookViewId="0"/>
  </sheetViews>
  <sheetFormatPr baseColWidth="10" defaultColWidth="8.6640625" defaultRowHeight="14.4" x14ac:dyDescent="0.3"/>
  <cols>
    <col min="1" max="3" width="28" customWidth="1"/>
    <col min="4" max="10" width="22" customWidth="1"/>
  </cols>
  <sheetData>
    <row r="1" spans="1:10" x14ac:dyDescent="0.3">
      <c r="A1" s="1" t="s">
        <v>0</v>
      </c>
    </row>
    <row r="2" spans="1:10" x14ac:dyDescent="0.3">
      <c r="A2" s="1" t="s">
        <v>1</v>
      </c>
    </row>
    <row r="3" spans="1:10" x14ac:dyDescent="0.3">
      <c r="A3" s="1" t="s">
        <v>2</v>
      </c>
      <c r="B3" t="s">
        <v>3</v>
      </c>
    </row>
    <row r="4" spans="1:10" x14ac:dyDescent="0.3">
      <c r="A4" s="1" t="s">
        <v>4</v>
      </c>
      <c r="B4" t="s">
        <v>5</v>
      </c>
    </row>
    <row r="5" spans="1:10" x14ac:dyDescent="0.3">
      <c r="A5" s="1" t="s">
        <v>6</v>
      </c>
      <c r="B5" t="s">
        <v>7</v>
      </c>
    </row>
    <row r="6" spans="1:10" x14ac:dyDescent="0.3">
      <c r="A6" s="1" t="s">
        <v>8</v>
      </c>
      <c r="B6" t="s">
        <v>9</v>
      </c>
    </row>
    <row r="8" spans="1:10" x14ac:dyDescent="0.3">
      <c r="A8" s="1" t="s">
        <v>10</v>
      </c>
    </row>
    <row r="9" spans="1:10" x14ac:dyDescent="0.3">
      <c r="A9" s="2" t="s">
        <v>11</v>
      </c>
    </row>
    <row r="11" spans="1:10" x14ac:dyDescent="0.3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20</v>
      </c>
      <c r="J11" s="3" t="s">
        <v>21</v>
      </c>
    </row>
    <row r="12" spans="1:10" ht="27" x14ac:dyDescent="0.3">
      <c r="A12" s="4" t="s">
        <v>22</v>
      </c>
      <c r="B12" s="4" t="s">
        <v>23</v>
      </c>
      <c r="C12" s="4" t="s">
        <v>24</v>
      </c>
      <c r="D12" s="5">
        <v>6.1643999999999997E-2</v>
      </c>
      <c r="E12" s="5">
        <v>4.5918E-2</v>
      </c>
      <c r="F12" s="4"/>
      <c r="G12" s="4">
        <v>2596</v>
      </c>
      <c r="H12" s="4" t="s">
        <v>25</v>
      </c>
      <c r="I12" s="4" t="s">
        <v>26</v>
      </c>
      <c r="J12" s="6" t="s">
        <v>27</v>
      </c>
    </row>
    <row r="13" spans="1:10" ht="27" x14ac:dyDescent="0.3">
      <c r="A13" s="4" t="s">
        <v>28</v>
      </c>
      <c r="B13" s="4" t="s">
        <v>23</v>
      </c>
      <c r="C13" s="4" t="s">
        <v>29</v>
      </c>
      <c r="D13" s="5">
        <v>0.12328799999999999</v>
      </c>
      <c r="E13" s="5">
        <v>0.121405</v>
      </c>
      <c r="F13" s="4"/>
      <c r="G13" s="4"/>
      <c r="H13" s="4" t="s">
        <v>25</v>
      </c>
      <c r="I13" s="4" t="s">
        <v>26</v>
      </c>
      <c r="J13" s="6" t="s">
        <v>27</v>
      </c>
    </row>
    <row r="14" spans="1:10" ht="27" x14ac:dyDescent="0.3">
      <c r="A14" s="4" t="s">
        <v>30</v>
      </c>
      <c r="B14" s="4" t="s">
        <v>23</v>
      </c>
      <c r="C14" s="4" t="s">
        <v>31</v>
      </c>
      <c r="D14" s="5">
        <v>6.1643999999999997E-2</v>
      </c>
      <c r="E14" s="5">
        <v>5.7487999999999997E-2</v>
      </c>
      <c r="F14" s="4"/>
      <c r="G14" s="4"/>
      <c r="H14" s="4" t="s">
        <v>25</v>
      </c>
      <c r="I14" s="4" t="s">
        <v>26</v>
      </c>
      <c r="J14" s="6" t="s">
        <v>27</v>
      </c>
    </row>
    <row r="15" spans="1:10" ht="27" x14ac:dyDescent="0.3">
      <c r="A15" s="4" t="s">
        <v>32</v>
      </c>
      <c r="B15" s="4" t="s">
        <v>33</v>
      </c>
      <c r="C15" s="4" t="s">
        <v>24</v>
      </c>
      <c r="D15" s="5">
        <v>6.3014000000000001E-2</v>
      </c>
      <c r="E15" s="5">
        <v>5.9068000000000002E-2</v>
      </c>
      <c r="F15" s="4"/>
      <c r="G15" s="4">
        <v>3036</v>
      </c>
      <c r="H15" s="4" t="s">
        <v>25</v>
      </c>
      <c r="I15" s="4" t="s">
        <v>26</v>
      </c>
      <c r="J15" s="6" t="s">
        <v>27</v>
      </c>
    </row>
    <row r="16" spans="1:10" ht="27" x14ac:dyDescent="0.3">
      <c r="A16" s="4" t="s">
        <v>34</v>
      </c>
      <c r="B16" s="4" t="s">
        <v>33</v>
      </c>
      <c r="C16" s="4" t="s">
        <v>29</v>
      </c>
      <c r="D16" s="5">
        <v>0.126027</v>
      </c>
      <c r="E16" s="5">
        <v>0.13350000000000001</v>
      </c>
      <c r="F16" s="4"/>
      <c r="G16" s="4"/>
      <c r="H16" s="4" t="s">
        <v>25</v>
      </c>
      <c r="I16" s="4" t="s">
        <v>26</v>
      </c>
      <c r="J16" s="6" t="s">
        <v>27</v>
      </c>
    </row>
    <row r="17" spans="1:10" ht="27" x14ac:dyDescent="0.3">
      <c r="A17" s="4" t="s">
        <v>35</v>
      </c>
      <c r="B17" s="4" t="s">
        <v>33</v>
      </c>
      <c r="C17" s="4" t="s">
        <v>31</v>
      </c>
      <c r="D17" s="5">
        <v>6.3014000000000001E-2</v>
      </c>
      <c r="E17" s="5">
        <v>7.0326E-2</v>
      </c>
      <c r="F17" s="4"/>
      <c r="G17" s="4"/>
      <c r="H17" s="4" t="s">
        <v>25</v>
      </c>
      <c r="I17" s="4" t="s">
        <v>26</v>
      </c>
      <c r="J17" s="6" t="s">
        <v>27</v>
      </c>
    </row>
    <row r="18" spans="1:10" ht="27" x14ac:dyDescent="0.3">
      <c r="A18" s="4" t="s">
        <v>36</v>
      </c>
      <c r="B18" s="4" t="s">
        <v>37</v>
      </c>
      <c r="C18" s="4" t="s">
        <v>24</v>
      </c>
      <c r="D18" s="5">
        <v>8.3561999999999997E-2</v>
      </c>
      <c r="E18" s="5">
        <v>9.3789999999999998E-2</v>
      </c>
      <c r="F18" s="4"/>
      <c r="G18" s="4">
        <v>4360</v>
      </c>
      <c r="H18" s="4" t="s">
        <v>25</v>
      </c>
      <c r="I18" s="4" t="s">
        <v>26</v>
      </c>
      <c r="J18" s="6" t="s">
        <v>27</v>
      </c>
    </row>
    <row r="19" spans="1:10" ht="27" x14ac:dyDescent="0.3">
      <c r="A19" s="4" t="s">
        <v>38</v>
      </c>
      <c r="B19" s="4" t="s">
        <v>37</v>
      </c>
      <c r="C19" s="4" t="s">
        <v>29</v>
      </c>
      <c r="D19" s="5">
        <v>0.16712299999999999</v>
      </c>
      <c r="E19" s="5">
        <v>0.187528</v>
      </c>
      <c r="F19" s="4"/>
      <c r="G19" s="4"/>
      <c r="H19" s="4" t="s">
        <v>25</v>
      </c>
      <c r="I19" s="4" t="s">
        <v>26</v>
      </c>
      <c r="J19" s="6" t="s">
        <v>27</v>
      </c>
    </row>
    <row r="20" spans="1:10" ht="27" x14ac:dyDescent="0.3">
      <c r="A20" s="4" t="s">
        <v>39</v>
      </c>
      <c r="B20" s="4" t="s">
        <v>37</v>
      </c>
      <c r="C20" s="4" t="s">
        <v>31</v>
      </c>
      <c r="D20" s="5">
        <v>8.3561999999999997E-2</v>
      </c>
      <c r="E20" s="5">
        <v>9.6213000000000007E-2</v>
      </c>
      <c r="F20" s="4"/>
      <c r="G20" s="4"/>
      <c r="H20" s="4" t="s">
        <v>25</v>
      </c>
      <c r="I20" s="4" t="s">
        <v>26</v>
      </c>
      <c r="J20" s="6" t="s">
        <v>27</v>
      </c>
    </row>
    <row r="21" spans="1:10" ht="27" x14ac:dyDescent="0.3">
      <c r="A21" s="4" t="s">
        <v>40</v>
      </c>
      <c r="B21" s="4" t="s">
        <v>41</v>
      </c>
      <c r="C21" s="4" t="s">
        <v>24</v>
      </c>
      <c r="D21" s="5">
        <v>4.1780999999999999E-2</v>
      </c>
      <c r="E21" s="5">
        <v>3.2377000000000003E-2</v>
      </c>
      <c r="F21" s="4"/>
      <c r="G21" s="4">
        <v>1556</v>
      </c>
      <c r="H21" s="4" t="s">
        <v>25</v>
      </c>
      <c r="I21" s="4" t="s">
        <v>26</v>
      </c>
      <c r="J21" s="6" t="s">
        <v>27</v>
      </c>
    </row>
    <row r="22" spans="1:10" ht="27" x14ac:dyDescent="0.3">
      <c r="A22" s="4" t="s">
        <v>42</v>
      </c>
      <c r="B22" s="4" t="s">
        <v>41</v>
      </c>
      <c r="C22" s="4" t="s">
        <v>29</v>
      </c>
      <c r="D22" s="5">
        <v>8.3561999999999997E-2</v>
      </c>
      <c r="E22" s="5">
        <v>6.8598000000000006E-2</v>
      </c>
      <c r="F22" s="4"/>
      <c r="G22" s="4"/>
      <c r="H22" s="4" t="s">
        <v>25</v>
      </c>
      <c r="I22" s="4" t="s">
        <v>26</v>
      </c>
      <c r="J22" s="6" t="s">
        <v>27</v>
      </c>
    </row>
    <row r="23" spans="1:10" ht="27" x14ac:dyDescent="0.3">
      <c r="A23" s="4" t="s">
        <v>43</v>
      </c>
      <c r="B23" s="4" t="s">
        <v>41</v>
      </c>
      <c r="C23" s="4" t="s">
        <v>31</v>
      </c>
      <c r="D23" s="5">
        <v>4.1780999999999999E-2</v>
      </c>
      <c r="E23" s="5">
        <v>3.3789E-2</v>
      </c>
      <c r="F23" s="4"/>
      <c r="G23" s="4"/>
      <c r="H23" s="4" t="s">
        <v>25</v>
      </c>
      <c r="I23" s="4" t="s">
        <v>26</v>
      </c>
      <c r="J23" s="6" t="s">
        <v>27</v>
      </c>
    </row>
    <row r="24" spans="1:10" x14ac:dyDescent="0.3">
      <c r="A24" s="1" t="s">
        <v>44</v>
      </c>
      <c r="E24" s="7">
        <f>SUM(E12:E23)</f>
        <v>1</v>
      </c>
    </row>
    <row r="27" spans="1:10" x14ac:dyDescent="0.3">
      <c r="A27" s="1" t="s">
        <v>45</v>
      </c>
    </row>
    <row r="28" spans="1:10" x14ac:dyDescent="0.3">
      <c r="A28" s="2" t="s">
        <v>46</v>
      </c>
    </row>
    <row r="30" spans="1:10" ht="27" x14ac:dyDescent="0.3">
      <c r="A30" s="3" t="s">
        <v>12</v>
      </c>
      <c r="B30" s="3" t="s">
        <v>13</v>
      </c>
      <c r="C30" s="3" t="s">
        <v>14</v>
      </c>
      <c r="D30" s="3" t="s">
        <v>47</v>
      </c>
      <c r="E30" s="3" t="s">
        <v>48</v>
      </c>
      <c r="F30" s="3" t="s">
        <v>49</v>
      </c>
      <c r="G30" s="3" t="s">
        <v>50</v>
      </c>
      <c r="H30" s="3" t="s">
        <v>21</v>
      </c>
    </row>
    <row r="31" spans="1:10" ht="40.200000000000003" x14ac:dyDescent="0.3">
      <c r="A31" s="4" t="s">
        <v>22</v>
      </c>
      <c r="B31" s="4" t="s">
        <v>23</v>
      </c>
      <c r="C31" s="4" t="s">
        <v>24</v>
      </c>
      <c r="D31" s="8">
        <v>0.25</v>
      </c>
      <c r="E31" s="8">
        <v>0.2</v>
      </c>
      <c r="F31" s="4" t="s">
        <v>51</v>
      </c>
      <c r="G31" s="4" t="s">
        <v>52</v>
      </c>
      <c r="H31" s="9" t="s">
        <v>53</v>
      </c>
    </row>
    <row r="32" spans="1:10" ht="40.200000000000003" x14ac:dyDescent="0.3">
      <c r="A32" s="4" t="s">
        <v>28</v>
      </c>
      <c r="B32" s="4" t="s">
        <v>23</v>
      </c>
      <c r="C32" s="4" t="s">
        <v>29</v>
      </c>
      <c r="D32" s="8">
        <v>0.26</v>
      </c>
      <c r="E32" s="8">
        <v>0.35</v>
      </c>
      <c r="F32" s="4" t="s">
        <v>51</v>
      </c>
      <c r="G32" s="4" t="s">
        <v>52</v>
      </c>
      <c r="H32" s="9" t="s">
        <v>53</v>
      </c>
    </row>
    <row r="33" spans="1:8" ht="40.200000000000003" x14ac:dyDescent="0.3">
      <c r="A33" s="4" t="s">
        <v>30</v>
      </c>
      <c r="B33" s="4" t="s">
        <v>23</v>
      </c>
      <c r="C33" s="4" t="s">
        <v>31</v>
      </c>
      <c r="D33" s="8">
        <v>0.26</v>
      </c>
      <c r="E33" s="8">
        <v>0.55000000000000004</v>
      </c>
      <c r="F33" s="4" t="s">
        <v>51</v>
      </c>
      <c r="G33" s="4" t="s">
        <v>52</v>
      </c>
      <c r="H33" s="9" t="s">
        <v>53</v>
      </c>
    </row>
    <row r="34" spans="1:8" ht="40.200000000000003" x14ac:dyDescent="0.3">
      <c r="A34" s="4" t="s">
        <v>32</v>
      </c>
      <c r="B34" s="4" t="s">
        <v>33</v>
      </c>
      <c r="C34" s="4" t="s">
        <v>24</v>
      </c>
      <c r="D34" s="8">
        <v>0.33</v>
      </c>
      <c r="E34" s="8">
        <v>0.25</v>
      </c>
      <c r="F34" s="4" t="s">
        <v>51</v>
      </c>
      <c r="G34" s="4" t="s">
        <v>52</v>
      </c>
      <c r="H34" s="9" t="s">
        <v>53</v>
      </c>
    </row>
    <row r="35" spans="1:8" ht="40.200000000000003" x14ac:dyDescent="0.3">
      <c r="A35" s="4" t="s">
        <v>34</v>
      </c>
      <c r="B35" s="4" t="s">
        <v>33</v>
      </c>
      <c r="C35" s="4" t="s">
        <v>29</v>
      </c>
      <c r="D35" s="8">
        <v>0.35</v>
      </c>
      <c r="E35" s="8">
        <v>0.4</v>
      </c>
      <c r="F35" s="4" t="s">
        <v>51</v>
      </c>
      <c r="G35" s="4" t="s">
        <v>52</v>
      </c>
      <c r="H35" s="9" t="s">
        <v>53</v>
      </c>
    </row>
    <row r="36" spans="1:8" ht="40.200000000000003" x14ac:dyDescent="0.3">
      <c r="A36" s="4" t="s">
        <v>35</v>
      </c>
      <c r="B36" s="4" t="s">
        <v>33</v>
      </c>
      <c r="C36" s="4" t="s">
        <v>31</v>
      </c>
      <c r="D36" s="8">
        <v>0.35</v>
      </c>
      <c r="E36" s="8">
        <v>0.6</v>
      </c>
      <c r="F36" s="4" t="s">
        <v>51</v>
      </c>
      <c r="G36" s="4" t="s">
        <v>52</v>
      </c>
      <c r="H36" s="9" t="s">
        <v>53</v>
      </c>
    </row>
    <row r="37" spans="1:8" ht="40.200000000000003" x14ac:dyDescent="0.3">
      <c r="A37" s="4" t="s">
        <v>36</v>
      </c>
      <c r="B37" s="4" t="s">
        <v>37</v>
      </c>
      <c r="C37" s="4" t="s">
        <v>24</v>
      </c>
      <c r="D37" s="8">
        <v>0.85</v>
      </c>
      <c r="E37" s="8">
        <v>0.55000000000000004</v>
      </c>
      <c r="F37" s="4" t="s">
        <v>51</v>
      </c>
      <c r="G37" s="4" t="s">
        <v>52</v>
      </c>
      <c r="H37" s="10" t="s">
        <v>54</v>
      </c>
    </row>
    <row r="38" spans="1:8" ht="40.200000000000003" x14ac:dyDescent="0.3">
      <c r="A38" s="4" t="s">
        <v>38</v>
      </c>
      <c r="B38" s="4" t="s">
        <v>37</v>
      </c>
      <c r="C38" s="4" t="s">
        <v>29</v>
      </c>
      <c r="D38" s="8">
        <v>0.88</v>
      </c>
      <c r="E38" s="8">
        <v>0.7</v>
      </c>
      <c r="F38" s="4" t="s">
        <v>51</v>
      </c>
      <c r="G38" s="4" t="s">
        <v>52</v>
      </c>
      <c r="H38" s="10" t="s">
        <v>54</v>
      </c>
    </row>
    <row r="39" spans="1:8" ht="40.200000000000003" x14ac:dyDescent="0.3">
      <c r="A39" s="4" t="s">
        <v>39</v>
      </c>
      <c r="B39" s="4" t="s">
        <v>37</v>
      </c>
      <c r="C39" s="4" t="s">
        <v>31</v>
      </c>
      <c r="D39" s="8">
        <v>0.88</v>
      </c>
      <c r="E39" s="8">
        <v>0.85</v>
      </c>
      <c r="F39" s="4" t="s">
        <v>51</v>
      </c>
      <c r="G39" s="4" t="s">
        <v>52</v>
      </c>
      <c r="H39" s="10" t="s">
        <v>54</v>
      </c>
    </row>
    <row r="40" spans="1:8" ht="40.200000000000003" x14ac:dyDescent="0.3">
      <c r="A40" s="4" t="s">
        <v>40</v>
      </c>
      <c r="B40" s="4" t="s">
        <v>41</v>
      </c>
      <c r="C40" s="4" t="s">
        <v>24</v>
      </c>
      <c r="D40" s="8">
        <v>0.57999999999999996</v>
      </c>
      <c r="E40" s="8">
        <v>0.4</v>
      </c>
      <c r="F40" s="4" t="s">
        <v>51</v>
      </c>
      <c r="G40" s="4" t="s">
        <v>52</v>
      </c>
      <c r="H40" s="9" t="s">
        <v>53</v>
      </c>
    </row>
    <row r="41" spans="1:8" ht="40.200000000000003" x14ac:dyDescent="0.3">
      <c r="A41" s="4" t="s">
        <v>42</v>
      </c>
      <c r="B41" s="4" t="s">
        <v>41</v>
      </c>
      <c r="C41" s="4" t="s">
        <v>29</v>
      </c>
      <c r="D41" s="8">
        <v>0.6</v>
      </c>
      <c r="E41" s="8">
        <v>0.55000000000000004</v>
      </c>
      <c r="F41" s="4" t="s">
        <v>51</v>
      </c>
      <c r="G41" s="4" t="s">
        <v>52</v>
      </c>
      <c r="H41" s="9" t="s">
        <v>53</v>
      </c>
    </row>
    <row r="42" spans="1:8" ht="40.200000000000003" x14ac:dyDescent="0.3">
      <c r="A42" s="4" t="s">
        <v>43</v>
      </c>
      <c r="B42" s="4" t="s">
        <v>41</v>
      </c>
      <c r="C42" s="4" t="s">
        <v>31</v>
      </c>
      <c r="D42" s="8">
        <v>0.6</v>
      </c>
      <c r="E42" s="8">
        <v>0.7</v>
      </c>
      <c r="F42" s="4" t="s">
        <v>51</v>
      </c>
      <c r="G42" s="4" t="s">
        <v>52</v>
      </c>
      <c r="H42" s="9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L18"/>
  <sheetViews>
    <sheetView zoomScaleNormal="100" workbookViewId="0">
      <selection activeCell="A2" sqref="A2"/>
    </sheetView>
  </sheetViews>
  <sheetFormatPr baseColWidth="10" defaultColWidth="8.6640625" defaultRowHeight="14.4" x14ac:dyDescent="0.3"/>
  <cols>
    <col min="1" max="12" width="18" customWidth="1"/>
  </cols>
  <sheetData>
    <row r="1" spans="1:12" ht="17.399999999999999" x14ac:dyDescent="0.3">
      <c r="A1" s="11" t="s">
        <v>55</v>
      </c>
    </row>
    <row r="2" spans="1:12" x14ac:dyDescent="0.3">
      <c r="A2" s="2" t="s">
        <v>56</v>
      </c>
    </row>
    <row r="3" spans="1:12" x14ac:dyDescent="0.3">
      <c r="A3" s="2" t="s">
        <v>57</v>
      </c>
    </row>
    <row r="5" spans="1:12" ht="40.200000000000003" x14ac:dyDescent="0.3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</row>
    <row r="6" spans="1:12" x14ac:dyDescent="0.3">
      <c r="A6" s="12" t="s">
        <v>70</v>
      </c>
      <c r="B6" s="13">
        <v>302978</v>
      </c>
      <c r="C6" s="13">
        <v>390632</v>
      </c>
      <c r="D6" s="13">
        <v>581342</v>
      </c>
      <c r="E6" s="13">
        <v>25462</v>
      </c>
      <c r="F6" s="13">
        <v>1300414</v>
      </c>
      <c r="G6" s="13">
        <v>251558</v>
      </c>
      <c r="H6" s="13">
        <v>1048856</v>
      </c>
      <c r="I6" s="13">
        <v>1660</v>
      </c>
      <c r="J6" s="13">
        <v>1050516</v>
      </c>
      <c r="K6" s="12" t="s">
        <v>71</v>
      </c>
      <c r="L6" s="12">
        <v>1</v>
      </c>
    </row>
    <row r="7" spans="1:12" x14ac:dyDescent="0.3">
      <c r="A7" s="12" t="s">
        <v>72</v>
      </c>
      <c r="B7" s="13">
        <v>313301</v>
      </c>
      <c r="C7" s="13">
        <v>393941</v>
      </c>
      <c r="D7" s="13">
        <v>589232</v>
      </c>
      <c r="E7" s="13">
        <v>20856</v>
      </c>
      <c r="F7" s="13">
        <v>1317331</v>
      </c>
      <c r="G7" s="13">
        <v>255670</v>
      </c>
      <c r="H7" s="13">
        <v>1061661</v>
      </c>
      <c r="I7" s="13">
        <v>2255</v>
      </c>
      <c r="J7" s="13">
        <v>1063916</v>
      </c>
      <c r="K7" s="12" t="s">
        <v>71</v>
      </c>
      <c r="L7" s="12">
        <v>1</v>
      </c>
    </row>
    <row r="8" spans="1:12" x14ac:dyDescent="0.3">
      <c r="A8" s="12" t="s">
        <v>73</v>
      </c>
      <c r="B8" s="13">
        <v>243531</v>
      </c>
      <c r="C8" s="13">
        <v>368808</v>
      </c>
      <c r="D8" s="13">
        <v>570445</v>
      </c>
      <c r="E8" s="13">
        <v>6120</v>
      </c>
      <c r="F8" s="13">
        <v>1188903</v>
      </c>
      <c r="G8" s="13">
        <v>280973</v>
      </c>
      <c r="H8" s="13">
        <v>907930</v>
      </c>
      <c r="I8" s="13">
        <v>1285</v>
      </c>
      <c r="J8" s="13">
        <v>909215</v>
      </c>
      <c r="K8" s="12" t="s">
        <v>74</v>
      </c>
      <c r="L8" s="12">
        <v>0.5</v>
      </c>
    </row>
    <row r="9" spans="1:12" x14ac:dyDescent="0.3">
      <c r="A9" s="12" t="s">
        <v>75</v>
      </c>
      <c r="B9" s="13">
        <v>257769</v>
      </c>
      <c r="C9" s="13">
        <v>179698</v>
      </c>
      <c r="D9" s="13">
        <v>485608</v>
      </c>
      <c r="E9" s="13">
        <v>519</v>
      </c>
      <c r="F9" s="13">
        <v>923594</v>
      </c>
      <c r="G9" s="13">
        <v>202254</v>
      </c>
      <c r="H9" s="13">
        <v>721341</v>
      </c>
      <c r="I9" s="13">
        <v>820</v>
      </c>
      <c r="J9" s="13">
        <v>722161</v>
      </c>
      <c r="K9" s="12" t="s">
        <v>76</v>
      </c>
      <c r="L9" s="12">
        <v>1</v>
      </c>
    </row>
    <row r="10" spans="1:12" x14ac:dyDescent="0.3">
      <c r="A10" s="12" t="s">
        <v>77</v>
      </c>
      <c r="B10" s="13">
        <v>260905</v>
      </c>
      <c r="C10" s="13">
        <v>162639</v>
      </c>
      <c r="D10" s="13">
        <v>403375</v>
      </c>
      <c r="E10" s="13">
        <v>18687</v>
      </c>
      <c r="F10" s="13">
        <v>845606</v>
      </c>
      <c r="G10" s="13">
        <v>87804</v>
      </c>
      <c r="H10" s="13">
        <v>757802</v>
      </c>
      <c r="I10" s="13">
        <v>1015</v>
      </c>
      <c r="J10" s="13">
        <v>758817</v>
      </c>
      <c r="K10" s="12" t="s">
        <v>78</v>
      </c>
      <c r="L10" s="12">
        <v>0.5</v>
      </c>
    </row>
    <row r="11" spans="1:12" x14ac:dyDescent="0.3">
      <c r="A11" s="12" t="s">
        <v>79</v>
      </c>
      <c r="B11" s="13">
        <v>232902</v>
      </c>
      <c r="C11" s="13">
        <v>120830</v>
      </c>
      <c r="D11" s="13">
        <v>343962</v>
      </c>
      <c r="E11" s="13">
        <v>202881</v>
      </c>
      <c r="F11" s="13">
        <v>900573</v>
      </c>
      <c r="G11" s="13">
        <v>590</v>
      </c>
      <c r="H11" s="13">
        <v>899983</v>
      </c>
      <c r="I11" s="13">
        <v>15916</v>
      </c>
      <c r="J11" s="13">
        <v>915899</v>
      </c>
      <c r="K11" s="12" t="s">
        <v>80</v>
      </c>
      <c r="L11" s="12">
        <v>1</v>
      </c>
    </row>
    <row r="12" spans="1:12" x14ac:dyDescent="0.3">
      <c r="A12" s="12" t="s">
        <v>81</v>
      </c>
      <c r="B12" s="13">
        <v>174678</v>
      </c>
      <c r="C12" s="13">
        <v>89674</v>
      </c>
      <c r="D12" s="13">
        <v>257446</v>
      </c>
      <c r="E12" s="13">
        <v>310988</v>
      </c>
      <c r="F12" s="13">
        <v>832787</v>
      </c>
      <c r="G12" s="13">
        <v>0</v>
      </c>
      <c r="H12" s="13">
        <v>832787</v>
      </c>
      <c r="I12" s="13">
        <v>30926</v>
      </c>
      <c r="J12" s="13">
        <v>863713</v>
      </c>
      <c r="K12" s="12" t="s">
        <v>80</v>
      </c>
      <c r="L12" s="12">
        <v>1</v>
      </c>
    </row>
    <row r="13" spans="1:12" x14ac:dyDescent="0.3">
      <c r="A13" s="12" t="s">
        <v>82</v>
      </c>
      <c r="B13" s="13">
        <v>158199</v>
      </c>
      <c r="C13" s="13">
        <v>82609</v>
      </c>
      <c r="D13" s="13">
        <v>266077</v>
      </c>
      <c r="E13" s="13">
        <v>318471</v>
      </c>
      <c r="F13" s="13">
        <v>825356</v>
      </c>
      <c r="G13" s="13">
        <v>0</v>
      </c>
      <c r="H13" s="13">
        <v>825356</v>
      </c>
      <c r="I13" s="13">
        <v>48590</v>
      </c>
      <c r="J13" s="13">
        <v>873946</v>
      </c>
      <c r="K13" s="12" t="s">
        <v>83</v>
      </c>
      <c r="L13" s="12">
        <v>0.5</v>
      </c>
    </row>
    <row r="14" spans="1:12" x14ac:dyDescent="0.3">
      <c r="A14" s="12" t="s">
        <v>84</v>
      </c>
      <c r="B14" s="13">
        <v>177845</v>
      </c>
      <c r="C14" s="13">
        <v>78510</v>
      </c>
      <c r="D14" s="13">
        <v>289332</v>
      </c>
      <c r="E14" s="13">
        <v>335537</v>
      </c>
      <c r="F14" s="13">
        <v>881225</v>
      </c>
      <c r="G14" s="13">
        <v>0</v>
      </c>
      <c r="H14" s="13">
        <v>881225</v>
      </c>
      <c r="I14" s="13">
        <v>38280</v>
      </c>
      <c r="J14" s="13">
        <v>919505</v>
      </c>
      <c r="K14" s="12" t="s">
        <v>85</v>
      </c>
      <c r="L14" s="12">
        <v>1</v>
      </c>
    </row>
    <row r="15" spans="1:12" x14ac:dyDescent="0.3">
      <c r="A15" s="12" t="s">
        <v>86</v>
      </c>
      <c r="B15" s="13">
        <v>221809</v>
      </c>
      <c r="C15" s="13">
        <v>83949</v>
      </c>
      <c r="D15" s="13">
        <v>329182</v>
      </c>
      <c r="E15" s="13">
        <v>395728</v>
      </c>
      <c r="F15" s="13">
        <v>1030668</v>
      </c>
      <c r="G15" s="13">
        <v>0</v>
      </c>
      <c r="H15" s="13">
        <v>1030668</v>
      </c>
      <c r="I15" s="13">
        <v>52575</v>
      </c>
      <c r="J15" s="13">
        <v>1083243</v>
      </c>
      <c r="K15" s="12" t="s">
        <v>85</v>
      </c>
      <c r="L15" s="12">
        <v>1</v>
      </c>
    </row>
    <row r="16" spans="1:12" x14ac:dyDescent="0.3">
      <c r="A16" s="12" t="s">
        <v>87</v>
      </c>
      <c r="B16" s="13">
        <v>290240</v>
      </c>
      <c r="C16" s="13">
        <v>189873</v>
      </c>
      <c r="D16" s="13">
        <v>521006</v>
      </c>
      <c r="E16" s="13">
        <v>184401</v>
      </c>
      <c r="F16" s="13">
        <v>1185520</v>
      </c>
      <c r="G16" s="13">
        <v>24205</v>
      </c>
      <c r="H16" s="13">
        <v>1161315</v>
      </c>
      <c r="I16" s="13">
        <v>30740</v>
      </c>
      <c r="J16" s="13">
        <v>1192055</v>
      </c>
      <c r="K16" s="12" t="s">
        <v>88</v>
      </c>
      <c r="L16" s="12">
        <v>0.5</v>
      </c>
    </row>
    <row r="17" spans="1:12" x14ac:dyDescent="0.3">
      <c r="A17" s="12" t="s">
        <v>89</v>
      </c>
      <c r="B17" s="13">
        <v>286420</v>
      </c>
      <c r="C17" s="13">
        <v>384397</v>
      </c>
      <c r="D17" s="13">
        <v>704455</v>
      </c>
      <c r="E17" s="13">
        <v>34876</v>
      </c>
      <c r="F17" s="13">
        <v>1410148</v>
      </c>
      <c r="G17" s="13">
        <v>230067</v>
      </c>
      <c r="H17" s="13">
        <v>1180081</v>
      </c>
      <c r="I17" s="13">
        <v>14370</v>
      </c>
      <c r="J17" s="13">
        <v>1194451</v>
      </c>
      <c r="K17" s="12" t="s">
        <v>71</v>
      </c>
      <c r="L17" s="12">
        <v>1</v>
      </c>
    </row>
    <row r="18" spans="1:12" x14ac:dyDescent="0.3">
      <c r="A18" s="1" t="s">
        <v>44</v>
      </c>
      <c r="B18" s="14">
        <f t="shared" ref="B18:J18" si="0">SUM(B6:B17)</f>
        <v>2920577</v>
      </c>
      <c r="C18" s="14">
        <f t="shared" si="0"/>
        <v>2525560</v>
      </c>
      <c r="D18" s="14">
        <f t="shared" si="0"/>
        <v>5341462</v>
      </c>
      <c r="E18" s="14">
        <f t="shared" si="0"/>
        <v>1854526</v>
      </c>
      <c r="F18" s="14">
        <f t="shared" si="0"/>
        <v>12642125</v>
      </c>
      <c r="G18" s="14">
        <f t="shared" si="0"/>
        <v>1333121</v>
      </c>
      <c r="H18" s="14">
        <f t="shared" si="0"/>
        <v>11309005</v>
      </c>
      <c r="I18" s="14">
        <f t="shared" si="0"/>
        <v>238432</v>
      </c>
      <c r="J18" s="14">
        <f t="shared" si="0"/>
        <v>11547437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N31"/>
  <sheetViews>
    <sheetView tabSelected="1" zoomScaleNormal="100" workbookViewId="0"/>
  </sheetViews>
  <sheetFormatPr baseColWidth="10" defaultColWidth="8.6640625" defaultRowHeight="14.4" x14ac:dyDescent="0.3"/>
  <cols>
    <col min="1" max="14" width="12" customWidth="1"/>
  </cols>
  <sheetData>
    <row r="1" spans="1:14" ht="17.399999999999999" x14ac:dyDescent="0.3">
      <c r="A1" s="11" t="s">
        <v>90</v>
      </c>
    </row>
    <row r="2" spans="1:14" x14ac:dyDescent="0.3">
      <c r="A2" s="2" t="s">
        <v>91</v>
      </c>
    </row>
    <row r="3" spans="1:14" x14ac:dyDescent="0.3">
      <c r="A3" s="2" t="s">
        <v>92</v>
      </c>
    </row>
    <row r="4" spans="1:14" x14ac:dyDescent="0.3">
      <c r="A4" s="2" t="s">
        <v>93</v>
      </c>
    </row>
    <row r="5" spans="1:14" x14ac:dyDescent="0.3">
      <c r="A5" s="15" t="s">
        <v>94</v>
      </c>
    </row>
    <row r="7" spans="1:14" x14ac:dyDescent="0.3">
      <c r="A7" s="3" t="s">
        <v>95</v>
      </c>
      <c r="B7" s="3" t="s">
        <v>86</v>
      </c>
      <c r="C7" s="3" t="s">
        <v>87</v>
      </c>
      <c r="D7" s="3" t="s">
        <v>89</v>
      </c>
      <c r="E7" s="3" t="s">
        <v>70</v>
      </c>
      <c r="F7" s="3" t="s">
        <v>72</v>
      </c>
      <c r="G7" s="3" t="s">
        <v>73</v>
      </c>
      <c r="H7" s="3" t="s">
        <v>75</v>
      </c>
      <c r="I7" s="3" t="s">
        <v>77</v>
      </c>
      <c r="J7" s="3" t="s">
        <v>79</v>
      </c>
      <c r="K7" s="3" t="s">
        <v>81</v>
      </c>
      <c r="L7" s="3" t="s">
        <v>82</v>
      </c>
      <c r="M7" s="3" t="s">
        <v>84</v>
      </c>
      <c r="N7" s="3" t="s">
        <v>96</v>
      </c>
    </row>
    <row r="8" spans="1:14" x14ac:dyDescent="0.3">
      <c r="A8" s="16" t="s">
        <v>97</v>
      </c>
      <c r="B8" s="12">
        <v>321</v>
      </c>
      <c r="C8" s="12">
        <v>350</v>
      </c>
      <c r="D8" s="12">
        <v>464</v>
      </c>
      <c r="E8" s="12">
        <v>470</v>
      </c>
      <c r="F8" s="12">
        <v>538</v>
      </c>
      <c r="G8" s="12">
        <v>552</v>
      </c>
      <c r="H8" s="12">
        <v>552</v>
      </c>
      <c r="I8" s="12">
        <v>442</v>
      </c>
      <c r="J8" s="12">
        <v>312</v>
      </c>
      <c r="K8" s="12">
        <v>264</v>
      </c>
      <c r="L8" s="12">
        <v>293</v>
      </c>
      <c r="M8" s="12">
        <v>303</v>
      </c>
      <c r="N8" s="17" t="s">
        <v>98</v>
      </c>
    </row>
    <row r="9" spans="1:14" x14ac:dyDescent="0.3">
      <c r="A9" s="16" t="s">
        <v>99</v>
      </c>
      <c r="B9" s="12">
        <v>308</v>
      </c>
      <c r="C9" s="12">
        <v>337</v>
      </c>
      <c r="D9" s="12">
        <v>455</v>
      </c>
      <c r="E9" s="12">
        <v>463</v>
      </c>
      <c r="F9" s="12">
        <v>542</v>
      </c>
      <c r="G9" s="12">
        <v>553</v>
      </c>
      <c r="H9" s="12">
        <v>547</v>
      </c>
      <c r="I9" s="12">
        <v>432</v>
      </c>
      <c r="J9" s="12">
        <v>310</v>
      </c>
      <c r="K9" s="12">
        <v>261</v>
      </c>
      <c r="L9" s="12">
        <v>295</v>
      </c>
      <c r="M9" s="12">
        <v>309</v>
      </c>
      <c r="N9" s="17" t="s">
        <v>98</v>
      </c>
    </row>
    <row r="10" spans="1:14" x14ac:dyDescent="0.3">
      <c r="A10" s="16" t="s">
        <v>100</v>
      </c>
      <c r="B10" s="12">
        <v>300</v>
      </c>
      <c r="C10" s="12">
        <v>337</v>
      </c>
      <c r="D10" s="12">
        <v>452</v>
      </c>
      <c r="E10" s="12">
        <v>467</v>
      </c>
      <c r="F10" s="12">
        <v>543</v>
      </c>
      <c r="G10" s="12">
        <v>549</v>
      </c>
      <c r="H10" s="12">
        <v>547</v>
      </c>
      <c r="I10" s="12">
        <v>432</v>
      </c>
      <c r="J10" s="12">
        <v>308</v>
      </c>
      <c r="K10" s="12">
        <v>259</v>
      </c>
      <c r="L10" s="12">
        <v>292</v>
      </c>
      <c r="M10" s="12">
        <v>300</v>
      </c>
      <c r="N10" s="17" t="s">
        <v>98</v>
      </c>
    </row>
    <row r="11" spans="1:14" x14ac:dyDescent="0.3">
      <c r="A11" s="16" t="s">
        <v>101</v>
      </c>
      <c r="B11" s="12">
        <v>284</v>
      </c>
      <c r="C11" s="12">
        <v>334</v>
      </c>
      <c r="D11" s="12">
        <v>454</v>
      </c>
      <c r="E11" s="12">
        <v>463</v>
      </c>
      <c r="F11" s="12">
        <v>545</v>
      </c>
      <c r="G11" s="12">
        <v>553</v>
      </c>
      <c r="H11" s="12">
        <v>553</v>
      </c>
      <c r="I11" s="12">
        <v>442</v>
      </c>
      <c r="J11" s="12">
        <v>318</v>
      </c>
      <c r="K11" s="12">
        <v>265</v>
      </c>
      <c r="L11" s="12">
        <v>300</v>
      </c>
      <c r="M11" s="12">
        <v>302</v>
      </c>
      <c r="N11" s="17" t="s">
        <v>98</v>
      </c>
    </row>
    <row r="12" spans="1:14" x14ac:dyDescent="0.3">
      <c r="A12" s="16" t="s">
        <v>102</v>
      </c>
      <c r="B12" s="12">
        <v>277</v>
      </c>
      <c r="C12" s="12">
        <v>332</v>
      </c>
      <c r="D12" s="12">
        <v>454</v>
      </c>
      <c r="E12" s="12">
        <v>467</v>
      </c>
      <c r="F12" s="12">
        <v>550</v>
      </c>
      <c r="G12" s="12">
        <v>558</v>
      </c>
      <c r="H12" s="12">
        <v>573</v>
      </c>
      <c r="I12" s="12">
        <v>478</v>
      </c>
      <c r="J12" s="12">
        <v>349</v>
      </c>
      <c r="K12" s="12">
        <v>289</v>
      </c>
      <c r="L12" s="12">
        <v>329</v>
      </c>
      <c r="M12" s="12">
        <v>327</v>
      </c>
      <c r="N12" s="17" t="s">
        <v>98</v>
      </c>
    </row>
    <row r="13" spans="1:14" x14ac:dyDescent="0.3">
      <c r="A13" s="16" t="s">
        <v>103</v>
      </c>
      <c r="B13" s="12">
        <v>278</v>
      </c>
      <c r="C13" s="12">
        <v>337</v>
      </c>
      <c r="D13" s="12">
        <v>451</v>
      </c>
      <c r="E13" s="12">
        <v>475</v>
      </c>
      <c r="F13" s="12">
        <v>543</v>
      </c>
      <c r="G13" s="12">
        <v>571</v>
      </c>
      <c r="H13" s="12">
        <v>594</v>
      </c>
      <c r="I13" s="12">
        <v>539</v>
      </c>
      <c r="J13" s="12">
        <v>420</v>
      </c>
      <c r="K13" s="12">
        <v>344</v>
      </c>
      <c r="L13" s="12">
        <v>392</v>
      </c>
      <c r="M13" s="12">
        <v>359</v>
      </c>
      <c r="N13" s="17" t="s">
        <v>98</v>
      </c>
    </row>
    <row r="14" spans="1:14" x14ac:dyDescent="0.3">
      <c r="A14" s="16" t="s">
        <v>104</v>
      </c>
      <c r="B14" s="12">
        <v>251</v>
      </c>
      <c r="C14" s="12">
        <v>332</v>
      </c>
      <c r="D14" s="12">
        <v>453</v>
      </c>
      <c r="E14" s="12">
        <v>478</v>
      </c>
      <c r="F14" s="12">
        <v>552</v>
      </c>
      <c r="G14" s="12">
        <v>569</v>
      </c>
      <c r="H14" s="12">
        <v>598</v>
      </c>
      <c r="I14" s="12">
        <v>565</v>
      </c>
      <c r="J14" s="12">
        <v>487</v>
      </c>
      <c r="K14" s="12">
        <v>410</v>
      </c>
      <c r="L14" s="12">
        <v>452</v>
      </c>
      <c r="M14" s="12">
        <v>406</v>
      </c>
      <c r="N14" s="16" t="s">
        <v>105</v>
      </c>
    </row>
    <row r="15" spans="1:14" x14ac:dyDescent="0.3">
      <c r="A15" s="16" t="s">
        <v>106</v>
      </c>
      <c r="B15" s="12">
        <v>237</v>
      </c>
      <c r="C15" s="12">
        <v>334</v>
      </c>
      <c r="D15" s="12">
        <v>451</v>
      </c>
      <c r="E15" s="12">
        <v>480</v>
      </c>
      <c r="F15" s="12">
        <v>551</v>
      </c>
      <c r="G15" s="12">
        <v>574</v>
      </c>
      <c r="H15" s="12">
        <v>591</v>
      </c>
      <c r="I15" s="12">
        <v>561</v>
      </c>
      <c r="J15" s="12">
        <v>503</v>
      </c>
      <c r="K15" s="12">
        <v>439</v>
      </c>
      <c r="L15" s="12">
        <v>470</v>
      </c>
      <c r="M15" s="12">
        <v>427</v>
      </c>
      <c r="N15" s="16" t="s">
        <v>105</v>
      </c>
    </row>
    <row r="16" spans="1:14" x14ac:dyDescent="0.3">
      <c r="A16" s="16" t="s">
        <v>107</v>
      </c>
      <c r="B16" s="12">
        <v>263</v>
      </c>
      <c r="C16" s="12">
        <v>341</v>
      </c>
      <c r="D16" s="12">
        <v>453</v>
      </c>
      <c r="E16" s="12">
        <v>480</v>
      </c>
      <c r="F16" s="12">
        <v>547</v>
      </c>
      <c r="G16" s="12">
        <v>569</v>
      </c>
      <c r="H16" s="12">
        <v>587</v>
      </c>
      <c r="I16" s="12">
        <v>554</v>
      </c>
      <c r="J16" s="12">
        <v>486</v>
      </c>
      <c r="K16" s="12">
        <v>415</v>
      </c>
      <c r="L16" s="12">
        <v>455</v>
      </c>
      <c r="M16" s="12">
        <v>410</v>
      </c>
      <c r="N16" s="16" t="s">
        <v>105</v>
      </c>
    </row>
    <row r="17" spans="1:14" x14ac:dyDescent="0.3">
      <c r="A17" s="16" t="s">
        <v>108</v>
      </c>
      <c r="B17" s="12">
        <v>284</v>
      </c>
      <c r="C17" s="12">
        <v>340</v>
      </c>
      <c r="D17" s="12">
        <v>448</v>
      </c>
      <c r="E17" s="12">
        <v>474</v>
      </c>
      <c r="F17" s="12">
        <v>551</v>
      </c>
      <c r="G17" s="12">
        <v>570</v>
      </c>
      <c r="H17" s="12">
        <v>585</v>
      </c>
      <c r="I17" s="12">
        <v>552</v>
      </c>
      <c r="J17" s="12">
        <v>474</v>
      </c>
      <c r="K17" s="12">
        <v>407</v>
      </c>
      <c r="L17" s="12">
        <v>443</v>
      </c>
      <c r="M17" s="12">
        <v>416</v>
      </c>
      <c r="N17" s="16" t="s">
        <v>105</v>
      </c>
    </row>
    <row r="18" spans="1:14" x14ac:dyDescent="0.3">
      <c r="A18" s="16" t="s">
        <v>109</v>
      </c>
      <c r="B18" s="12">
        <v>287</v>
      </c>
      <c r="C18" s="12">
        <v>339</v>
      </c>
      <c r="D18" s="12">
        <v>451</v>
      </c>
      <c r="E18" s="12">
        <v>472</v>
      </c>
      <c r="F18" s="12">
        <v>541</v>
      </c>
      <c r="G18" s="12">
        <v>556</v>
      </c>
      <c r="H18" s="12">
        <v>578</v>
      </c>
      <c r="I18" s="12">
        <v>540</v>
      </c>
      <c r="J18" s="12">
        <v>462</v>
      </c>
      <c r="K18" s="12">
        <v>399</v>
      </c>
      <c r="L18" s="12">
        <v>431</v>
      </c>
      <c r="M18" s="12">
        <v>423</v>
      </c>
      <c r="N18" s="16" t="s">
        <v>105</v>
      </c>
    </row>
    <row r="19" spans="1:14" x14ac:dyDescent="0.3">
      <c r="A19" s="16" t="s">
        <v>110</v>
      </c>
      <c r="B19" s="12">
        <v>288</v>
      </c>
      <c r="C19" s="12">
        <v>341</v>
      </c>
      <c r="D19" s="12">
        <v>446</v>
      </c>
      <c r="E19" s="12">
        <v>463</v>
      </c>
      <c r="F19" s="12">
        <v>539</v>
      </c>
      <c r="G19" s="12">
        <v>558</v>
      </c>
      <c r="H19" s="12">
        <v>571</v>
      </c>
      <c r="I19" s="12">
        <v>528</v>
      </c>
      <c r="J19" s="12">
        <v>439</v>
      </c>
      <c r="K19" s="12">
        <v>372</v>
      </c>
      <c r="L19" s="12">
        <v>414</v>
      </c>
      <c r="M19" s="12">
        <v>408</v>
      </c>
      <c r="N19" s="16" t="s">
        <v>105</v>
      </c>
    </row>
    <row r="20" spans="1:14" x14ac:dyDescent="0.3">
      <c r="A20" s="16" t="s">
        <v>111</v>
      </c>
      <c r="B20" s="12">
        <v>285</v>
      </c>
      <c r="C20" s="12">
        <v>343</v>
      </c>
      <c r="D20" s="12">
        <v>447</v>
      </c>
      <c r="E20" s="12">
        <v>459</v>
      </c>
      <c r="F20" s="12">
        <v>543</v>
      </c>
      <c r="G20" s="12">
        <v>557</v>
      </c>
      <c r="H20" s="12">
        <v>565</v>
      </c>
      <c r="I20" s="12">
        <v>526</v>
      </c>
      <c r="J20" s="12">
        <v>432</v>
      </c>
      <c r="K20" s="12">
        <v>351</v>
      </c>
      <c r="L20" s="12">
        <v>399</v>
      </c>
      <c r="M20" s="12">
        <v>382</v>
      </c>
      <c r="N20" s="16" t="s">
        <v>105</v>
      </c>
    </row>
    <row r="21" spans="1:14" x14ac:dyDescent="0.3">
      <c r="A21" s="16" t="s">
        <v>112</v>
      </c>
      <c r="B21" s="12">
        <v>287</v>
      </c>
      <c r="C21" s="12">
        <v>346</v>
      </c>
      <c r="D21" s="12">
        <v>445</v>
      </c>
      <c r="E21" s="12">
        <v>449</v>
      </c>
      <c r="F21" s="12">
        <v>533</v>
      </c>
      <c r="G21" s="12">
        <v>552</v>
      </c>
      <c r="H21" s="12">
        <v>553</v>
      </c>
      <c r="I21" s="12">
        <v>527</v>
      </c>
      <c r="J21" s="12">
        <v>428</v>
      </c>
      <c r="K21" s="12">
        <v>349</v>
      </c>
      <c r="L21" s="12">
        <v>397</v>
      </c>
      <c r="M21" s="12">
        <v>386</v>
      </c>
      <c r="N21" s="16" t="s">
        <v>105</v>
      </c>
    </row>
    <row r="22" spans="1:14" x14ac:dyDescent="0.3">
      <c r="A22" s="16" t="s">
        <v>113</v>
      </c>
      <c r="B22" s="12">
        <v>324</v>
      </c>
      <c r="C22" s="12">
        <v>348</v>
      </c>
      <c r="D22" s="12">
        <v>442</v>
      </c>
      <c r="E22" s="12">
        <v>456</v>
      </c>
      <c r="F22" s="12">
        <v>532</v>
      </c>
      <c r="G22" s="12">
        <v>557</v>
      </c>
      <c r="H22" s="12">
        <v>563</v>
      </c>
      <c r="I22" s="12">
        <v>526</v>
      </c>
      <c r="J22" s="12">
        <v>428</v>
      </c>
      <c r="K22" s="12">
        <v>347</v>
      </c>
      <c r="L22" s="12">
        <v>399</v>
      </c>
      <c r="M22" s="12">
        <v>380</v>
      </c>
      <c r="N22" s="16" t="s">
        <v>105</v>
      </c>
    </row>
    <row r="23" spans="1:14" x14ac:dyDescent="0.3">
      <c r="A23" s="16" t="s">
        <v>114</v>
      </c>
      <c r="B23" s="12">
        <v>322</v>
      </c>
      <c r="C23" s="12">
        <v>346</v>
      </c>
      <c r="D23" s="12">
        <v>450</v>
      </c>
      <c r="E23" s="12">
        <v>464</v>
      </c>
      <c r="F23" s="12">
        <v>543</v>
      </c>
      <c r="G23" s="12">
        <v>561</v>
      </c>
      <c r="H23" s="12">
        <v>574</v>
      </c>
      <c r="I23" s="12">
        <v>532</v>
      </c>
      <c r="J23" s="12">
        <v>421</v>
      </c>
      <c r="K23" s="12">
        <v>352</v>
      </c>
      <c r="L23" s="12">
        <v>389</v>
      </c>
      <c r="M23" s="12">
        <v>372</v>
      </c>
      <c r="N23" s="16" t="s">
        <v>105</v>
      </c>
    </row>
    <row r="24" spans="1:14" x14ac:dyDescent="0.3">
      <c r="A24" s="16" t="s">
        <v>115</v>
      </c>
      <c r="B24" s="12">
        <v>296</v>
      </c>
      <c r="C24" s="12">
        <v>336</v>
      </c>
      <c r="D24" s="12">
        <v>451</v>
      </c>
      <c r="E24" s="12">
        <v>462</v>
      </c>
      <c r="F24" s="12">
        <v>551</v>
      </c>
      <c r="G24" s="12">
        <v>562</v>
      </c>
      <c r="H24" s="12">
        <v>582</v>
      </c>
      <c r="I24" s="12">
        <v>517</v>
      </c>
      <c r="J24" s="12">
        <v>414</v>
      </c>
      <c r="K24" s="12">
        <v>336</v>
      </c>
      <c r="L24" s="12">
        <v>380</v>
      </c>
      <c r="M24" s="12">
        <v>356</v>
      </c>
      <c r="N24" s="16" t="s">
        <v>105</v>
      </c>
    </row>
    <row r="25" spans="1:14" x14ac:dyDescent="0.3">
      <c r="A25" s="16" t="s">
        <v>116</v>
      </c>
      <c r="B25" s="12">
        <v>281</v>
      </c>
      <c r="C25" s="12">
        <v>329</v>
      </c>
      <c r="D25" s="12">
        <v>458</v>
      </c>
      <c r="E25" s="12">
        <v>467</v>
      </c>
      <c r="F25" s="12">
        <v>550</v>
      </c>
      <c r="G25" s="12">
        <v>573</v>
      </c>
      <c r="H25" s="12">
        <v>606</v>
      </c>
      <c r="I25" s="12">
        <v>598</v>
      </c>
      <c r="J25" s="12">
        <v>540</v>
      </c>
      <c r="K25" s="12">
        <v>445</v>
      </c>
      <c r="L25" s="12">
        <v>470</v>
      </c>
      <c r="M25" s="12">
        <v>371</v>
      </c>
      <c r="N25" s="16" t="s">
        <v>105</v>
      </c>
    </row>
    <row r="26" spans="1:14" x14ac:dyDescent="0.3">
      <c r="A26" s="16" t="s">
        <v>117</v>
      </c>
      <c r="B26" s="12">
        <v>321</v>
      </c>
      <c r="C26" s="12">
        <v>341</v>
      </c>
      <c r="D26" s="12">
        <v>456</v>
      </c>
      <c r="E26" s="12">
        <v>472</v>
      </c>
      <c r="F26" s="12">
        <v>555</v>
      </c>
      <c r="G26" s="12">
        <v>574</v>
      </c>
      <c r="H26" s="12">
        <v>600</v>
      </c>
      <c r="I26" s="12">
        <v>575</v>
      </c>
      <c r="J26" s="12">
        <v>522</v>
      </c>
      <c r="K26" s="12">
        <v>493</v>
      </c>
      <c r="L26" s="12">
        <v>501</v>
      </c>
      <c r="M26" s="12">
        <v>499</v>
      </c>
      <c r="N26" s="18" t="s">
        <v>118</v>
      </c>
    </row>
    <row r="27" spans="1:14" x14ac:dyDescent="0.3">
      <c r="A27" s="16" t="s">
        <v>119</v>
      </c>
      <c r="B27" s="12">
        <v>326</v>
      </c>
      <c r="C27" s="12">
        <v>358</v>
      </c>
      <c r="D27" s="12">
        <v>464</v>
      </c>
      <c r="E27" s="12">
        <v>478</v>
      </c>
      <c r="F27" s="12">
        <v>555</v>
      </c>
      <c r="G27" s="12">
        <v>576</v>
      </c>
      <c r="H27" s="12">
        <v>597</v>
      </c>
      <c r="I27" s="12">
        <v>550</v>
      </c>
      <c r="J27" s="12">
        <v>483</v>
      </c>
      <c r="K27" s="12">
        <v>446</v>
      </c>
      <c r="L27" s="12">
        <v>454</v>
      </c>
      <c r="M27" s="12">
        <v>470</v>
      </c>
      <c r="N27" s="18" t="s">
        <v>118</v>
      </c>
    </row>
    <row r="28" spans="1:14" x14ac:dyDescent="0.3">
      <c r="A28" s="16" t="s">
        <v>120</v>
      </c>
      <c r="B28" s="12">
        <v>340</v>
      </c>
      <c r="C28" s="12">
        <v>365</v>
      </c>
      <c r="D28" s="12">
        <v>478</v>
      </c>
      <c r="E28" s="12">
        <v>490</v>
      </c>
      <c r="F28" s="12">
        <v>554</v>
      </c>
      <c r="G28" s="12">
        <v>572</v>
      </c>
      <c r="H28" s="12">
        <v>588</v>
      </c>
      <c r="I28" s="12">
        <v>534</v>
      </c>
      <c r="J28" s="12">
        <v>453</v>
      </c>
      <c r="K28" s="12">
        <v>422</v>
      </c>
      <c r="L28" s="12">
        <v>422</v>
      </c>
      <c r="M28" s="12">
        <v>421</v>
      </c>
      <c r="N28" s="18" t="s">
        <v>118</v>
      </c>
    </row>
    <row r="29" spans="1:14" x14ac:dyDescent="0.3">
      <c r="A29" s="16" t="s">
        <v>121</v>
      </c>
      <c r="B29" s="12">
        <v>338</v>
      </c>
      <c r="C29" s="12">
        <v>365</v>
      </c>
      <c r="D29" s="12">
        <v>494</v>
      </c>
      <c r="E29" s="12">
        <v>500</v>
      </c>
      <c r="F29" s="12">
        <v>555</v>
      </c>
      <c r="G29" s="12">
        <v>565</v>
      </c>
      <c r="H29" s="12">
        <v>571</v>
      </c>
      <c r="I29" s="12">
        <v>498</v>
      </c>
      <c r="J29" s="12">
        <v>396</v>
      </c>
      <c r="K29" s="12">
        <v>367</v>
      </c>
      <c r="L29" s="12">
        <v>367</v>
      </c>
      <c r="M29" s="12">
        <v>372</v>
      </c>
      <c r="N29" s="18" t="s">
        <v>118</v>
      </c>
    </row>
    <row r="30" spans="1:14" x14ac:dyDescent="0.3">
      <c r="A30" s="16" t="s">
        <v>122</v>
      </c>
      <c r="B30" s="12">
        <v>355</v>
      </c>
      <c r="C30" s="12">
        <v>366</v>
      </c>
      <c r="D30" s="12">
        <v>470</v>
      </c>
      <c r="E30" s="12">
        <v>477</v>
      </c>
      <c r="F30" s="12">
        <v>530</v>
      </c>
      <c r="G30" s="12">
        <v>558</v>
      </c>
      <c r="H30" s="12">
        <v>557</v>
      </c>
      <c r="I30" s="12">
        <v>463</v>
      </c>
      <c r="J30" s="12">
        <v>347</v>
      </c>
      <c r="K30" s="12">
        <v>307</v>
      </c>
      <c r="L30" s="12">
        <v>321</v>
      </c>
      <c r="M30" s="12">
        <v>342</v>
      </c>
      <c r="N30" s="18" t="s">
        <v>118</v>
      </c>
    </row>
    <row r="31" spans="1:14" x14ac:dyDescent="0.3">
      <c r="A31" s="16" t="s">
        <v>123</v>
      </c>
      <c r="B31" s="12">
        <v>341</v>
      </c>
      <c r="C31" s="12">
        <v>357</v>
      </c>
      <c r="D31" s="12">
        <v>462</v>
      </c>
      <c r="E31" s="12">
        <v>473</v>
      </c>
      <c r="F31" s="12">
        <v>536</v>
      </c>
      <c r="G31" s="12">
        <v>553</v>
      </c>
      <c r="H31" s="12">
        <v>551</v>
      </c>
      <c r="I31" s="12">
        <v>447</v>
      </c>
      <c r="J31" s="12">
        <v>325</v>
      </c>
      <c r="K31" s="12">
        <v>273</v>
      </c>
      <c r="L31" s="12">
        <v>304</v>
      </c>
      <c r="M31" s="12">
        <v>320</v>
      </c>
      <c r="N31" s="18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J27"/>
  <sheetViews>
    <sheetView zoomScaleNormal="100" workbookViewId="0"/>
  </sheetViews>
  <sheetFormatPr baseColWidth="10" defaultColWidth="8.6640625" defaultRowHeight="14.4" x14ac:dyDescent="0.3"/>
  <cols>
    <col min="1" max="10" width="24" customWidth="1"/>
  </cols>
  <sheetData>
    <row r="1" spans="1:10" ht="17.399999999999999" x14ac:dyDescent="0.3">
      <c r="A1" s="11" t="s">
        <v>124</v>
      </c>
    </row>
    <row r="2" spans="1:10" x14ac:dyDescent="0.3">
      <c r="A2" s="2" t="s">
        <v>125</v>
      </c>
    </row>
    <row r="3" spans="1:10" x14ac:dyDescent="0.3">
      <c r="A3" s="2" t="s">
        <v>126</v>
      </c>
    </row>
    <row r="4" spans="1:10" x14ac:dyDescent="0.3">
      <c r="A4" s="2" t="s">
        <v>127</v>
      </c>
    </row>
    <row r="6" spans="1:10" x14ac:dyDescent="0.3">
      <c r="A6" s="1" t="s">
        <v>128</v>
      </c>
    </row>
    <row r="7" spans="1:10" ht="27" x14ac:dyDescent="0.3">
      <c r="A7" s="3" t="s">
        <v>13</v>
      </c>
      <c r="B7" s="3" t="s">
        <v>129</v>
      </c>
      <c r="C7" s="3" t="s">
        <v>130</v>
      </c>
      <c r="D7" s="3" t="s">
        <v>131</v>
      </c>
      <c r="E7" s="3" t="s">
        <v>132</v>
      </c>
      <c r="F7" s="3" t="s">
        <v>133</v>
      </c>
      <c r="G7" s="3" t="s">
        <v>134</v>
      </c>
      <c r="H7" s="3" t="s">
        <v>135</v>
      </c>
      <c r="I7" s="3" t="s">
        <v>136</v>
      </c>
      <c r="J7" s="3" t="s">
        <v>137</v>
      </c>
    </row>
    <row r="8" spans="1:10" x14ac:dyDescent="0.3">
      <c r="A8" s="12" t="s">
        <v>138</v>
      </c>
      <c r="B8" s="12">
        <v>223</v>
      </c>
      <c r="C8" s="13">
        <v>31759</v>
      </c>
      <c r="D8" s="13">
        <v>30653</v>
      </c>
      <c r="E8" s="13">
        <v>7266</v>
      </c>
      <c r="F8" s="13">
        <v>183</v>
      </c>
      <c r="G8" s="13">
        <v>1107</v>
      </c>
      <c r="H8" s="12" t="s">
        <v>139</v>
      </c>
      <c r="I8" s="12" t="s">
        <v>140</v>
      </c>
      <c r="J8" s="13">
        <v>1753</v>
      </c>
    </row>
    <row r="9" spans="1:10" x14ac:dyDescent="0.3">
      <c r="A9" s="12" t="s">
        <v>141</v>
      </c>
      <c r="B9" s="12">
        <v>184</v>
      </c>
      <c r="C9" s="13">
        <v>34475</v>
      </c>
      <c r="D9" s="13">
        <v>32647</v>
      </c>
      <c r="E9" s="13">
        <v>11005</v>
      </c>
      <c r="F9" s="13">
        <v>124</v>
      </c>
      <c r="G9" s="13">
        <v>1827</v>
      </c>
      <c r="H9" s="12" t="s">
        <v>142</v>
      </c>
      <c r="I9" s="12" t="s">
        <v>143</v>
      </c>
      <c r="J9" s="13">
        <v>1752</v>
      </c>
    </row>
    <row r="10" spans="1:10" x14ac:dyDescent="0.3">
      <c r="A10" s="12" t="s">
        <v>144</v>
      </c>
      <c r="B10" s="12">
        <v>241</v>
      </c>
      <c r="C10" s="13">
        <v>38880</v>
      </c>
      <c r="D10" s="13">
        <v>38435</v>
      </c>
      <c r="E10" s="13">
        <v>848</v>
      </c>
      <c r="F10" s="13">
        <v>10660</v>
      </c>
      <c r="G10" s="13">
        <v>445</v>
      </c>
      <c r="H10" s="12" t="s">
        <v>145</v>
      </c>
      <c r="I10" s="12" t="s">
        <v>146</v>
      </c>
      <c r="J10" s="13">
        <v>1821</v>
      </c>
    </row>
    <row r="11" spans="1:10" x14ac:dyDescent="0.3">
      <c r="A11" s="12" t="s">
        <v>147</v>
      </c>
      <c r="B11" s="12">
        <v>170</v>
      </c>
      <c r="C11" s="13">
        <v>29272</v>
      </c>
      <c r="D11" s="13">
        <v>29195</v>
      </c>
      <c r="E11" s="13">
        <v>17</v>
      </c>
      <c r="F11" s="13">
        <v>9064</v>
      </c>
      <c r="G11" s="13">
        <v>77</v>
      </c>
      <c r="H11" s="12" t="s">
        <v>148</v>
      </c>
      <c r="I11" s="12" t="s">
        <v>149</v>
      </c>
      <c r="J11" s="13">
        <v>1564</v>
      </c>
    </row>
    <row r="14" spans="1:10" x14ac:dyDescent="0.3">
      <c r="A14" s="1" t="s">
        <v>150</v>
      </c>
    </row>
    <row r="15" spans="1:10" ht="27" x14ac:dyDescent="0.3">
      <c r="A15" s="3" t="s">
        <v>13</v>
      </c>
      <c r="B15" s="3" t="s">
        <v>151</v>
      </c>
      <c r="C15" s="3" t="s">
        <v>152</v>
      </c>
      <c r="D15" s="3" t="s">
        <v>153</v>
      </c>
    </row>
    <row r="16" spans="1:10" ht="40.200000000000003" x14ac:dyDescent="0.3">
      <c r="A16" s="4" t="s">
        <v>138</v>
      </c>
      <c r="B16" s="4" t="s">
        <v>154</v>
      </c>
      <c r="C16" s="4" t="s">
        <v>155</v>
      </c>
      <c r="D16" s="19" t="s">
        <v>156</v>
      </c>
    </row>
    <row r="17" spans="1:5" ht="53.4" x14ac:dyDescent="0.3">
      <c r="A17" s="4" t="s">
        <v>141</v>
      </c>
      <c r="B17" s="4" t="s">
        <v>154</v>
      </c>
      <c r="C17" s="4" t="s">
        <v>157</v>
      </c>
      <c r="D17" s="19" t="s">
        <v>158</v>
      </c>
    </row>
    <row r="18" spans="1:5" ht="40.200000000000003" x14ac:dyDescent="0.3">
      <c r="A18" s="4" t="s">
        <v>144</v>
      </c>
      <c r="B18" s="4" t="s">
        <v>159</v>
      </c>
      <c r="C18" s="4" t="s">
        <v>160</v>
      </c>
      <c r="D18" s="19" t="s">
        <v>161</v>
      </c>
    </row>
    <row r="19" spans="1:5" ht="40.200000000000003" x14ac:dyDescent="0.3">
      <c r="A19" s="4" t="s">
        <v>147</v>
      </c>
      <c r="B19" s="4" t="s">
        <v>159</v>
      </c>
      <c r="C19" s="4" t="s">
        <v>162</v>
      </c>
      <c r="D19" s="19" t="s">
        <v>163</v>
      </c>
    </row>
    <row r="22" spans="1:5" x14ac:dyDescent="0.3">
      <c r="A22" s="1" t="s">
        <v>164</v>
      </c>
    </row>
    <row r="23" spans="1:5" ht="27" x14ac:dyDescent="0.3">
      <c r="A23" s="3" t="s">
        <v>165</v>
      </c>
      <c r="B23" s="3" t="s">
        <v>166</v>
      </c>
      <c r="C23" s="3" t="s">
        <v>130</v>
      </c>
      <c r="D23" s="3" t="s">
        <v>137</v>
      </c>
      <c r="E23" s="3" t="s">
        <v>167</v>
      </c>
    </row>
    <row r="24" spans="1:5" x14ac:dyDescent="0.3">
      <c r="A24" s="12">
        <v>2022</v>
      </c>
      <c r="B24" s="13">
        <v>82</v>
      </c>
      <c r="C24" s="13">
        <v>26266</v>
      </c>
      <c r="D24" s="13">
        <v>1448</v>
      </c>
      <c r="E24" s="20" t="s">
        <v>168</v>
      </c>
    </row>
    <row r="25" spans="1:5" x14ac:dyDescent="0.3">
      <c r="A25" s="12">
        <v>2023</v>
      </c>
      <c r="B25" s="13">
        <v>362</v>
      </c>
      <c r="C25" s="13">
        <v>33219</v>
      </c>
      <c r="D25" s="13">
        <v>1684</v>
      </c>
      <c r="E25" s="20" t="s">
        <v>169</v>
      </c>
    </row>
    <row r="26" spans="1:5" x14ac:dyDescent="0.3">
      <c r="A26" s="12">
        <v>2024</v>
      </c>
      <c r="B26" s="13">
        <v>362</v>
      </c>
      <c r="C26" s="13">
        <v>36336</v>
      </c>
      <c r="D26" s="13">
        <v>1838</v>
      </c>
      <c r="E26" s="20" t="s">
        <v>170</v>
      </c>
    </row>
    <row r="27" spans="1:5" x14ac:dyDescent="0.3">
      <c r="A27" s="12">
        <v>2025</v>
      </c>
      <c r="B27" s="13">
        <v>12</v>
      </c>
      <c r="C27" s="13">
        <v>36619</v>
      </c>
      <c r="D27" s="13">
        <v>2015</v>
      </c>
      <c r="E27" s="20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24"/>
  <sheetViews>
    <sheetView zoomScaleNormal="100" workbookViewId="0"/>
  </sheetViews>
  <sheetFormatPr baseColWidth="10" defaultColWidth="8.6640625" defaultRowHeight="14.4" x14ac:dyDescent="0.3"/>
  <cols>
    <col min="1" max="6" width="28" customWidth="1"/>
  </cols>
  <sheetData>
    <row r="1" spans="1:6" ht="17.399999999999999" x14ac:dyDescent="0.3">
      <c r="A1" s="11" t="s">
        <v>172</v>
      </c>
    </row>
    <row r="2" spans="1:6" x14ac:dyDescent="0.3">
      <c r="A2" s="2" t="s">
        <v>173</v>
      </c>
    </row>
    <row r="4" spans="1:6" x14ac:dyDescent="0.3">
      <c r="A4" s="1" t="s">
        <v>174</v>
      </c>
    </row>
    <row r="5" spans="1:6" x14ac:dyDescent="0.3">
      <c r="A5" s="3" t="s">
        <v>13</v>
      </c>
      <c r="B5" s="3" t="s">
        <v>175</v>
      </c>
      <c r="C5" s="3" t="s">
        <v>176</v>
      </c>
      <c r="D5" s="3" t="s">
        <v>177</v>
      </c>
      <c r="E5" s="3" t="s">
        <v>178</v>
      </c>
    </row>
    <row r="6" spans="1:6" x14ac:dyDescent="0.3">
      <c r="A6" s="12" t="s">
        <v>179</v>
      </c>
      <c r="B6" s="21">
        <v>0.2248</v>
      </c>
      <c r="C6" s="21">
        <v>0.2276</v>
      </c>
      <c r="D6" s="12" t="s">
        <v>180</v>
      </c>
      <c r="E6" s="12" t="s">
        <v>181</v>
      </c>
    </row>
    <row r="7" spans="1:6" x14ac:dyDescent="0.3">
      <c r="A7" s="12" t="s">
        <v>182</v>
      </c>
      <c r="B7" s="21">
        <v>0.26290000000000002</v>
      </c>
      <c r="C7" s="21">
        <v>0.2525</v>
      </c>
      <c r="D7" s="12" t="s">
        <v>183</v>
      </c>
      <c r="E7" s="12" t="s">
        <v>184</v>
      </c>
    </row>
    <row r="8" spans="1:6" x14ac:dyDescent="0.3">
      <c r="A8" s="12" t="s">
        <v>185</v>
      </c>
      <c r="B8" s="21">
        <v>0.3775</v>
      </c>
      <c r="C8" s="21">
        <v>0.37769999999999998</v>
      </c>
      <c r="D8" s="12" t="s">
        <v>186</v>
      </c>
      <c r="E8" s="12" t="s">
        <v>187</v>
      </c>
    </row>
    <row r="9" spans="1:6" x14ac:dyDescent="0.3">
      <c r="A9" s="12" t="s">
        <v>188</v>
      </c>
      <c r="B9" s="21">
        <v>0.1348</v>
      </c>
      <c r="C9" s="21">
        <v>0.14219999999999999</v>
      </c>
      <c r="D9" s="12" t="s">
        <v>189</v>
      </c>
      <c r="E9" s="12" t="s">
        <v>190</v>
      </c>
    </row>
    <row r="12" spans="1:6" x14ac:dyDescent="0.3">
      <c r="A12" s="1" t="s">
        <v>191</v>
      </c>
    </row>
    <row r="13" spans="1:6" x14ac:dyDescent="0.3">
      <c r="A13" s="3" t="s">
        <v>13</v>
      </c>
      <c r="B13" s="3" t="s">
        <v>192</v>
      </c>
      <c r="C13" s="3" t="s">
        <v>193</v>
      </c>
      <c r="D13" s="3" t="s">
        <v>194</v>
      </c>
      <c r="E13" s="3" t="s">
        <v>96</v>
      </c>
      <c r="F13" s="3" t="s">
        <v>195</v>
      </c>
    </row>
    <row r="14" spans="1:6" ht="27" x14ac:dyDescent="0.3">
      <c r="A14" s="4" t="s">
        <v>138</v>
      </c>
      <c r="B14" s="4" t="s">
        <v>140</v>
      </c>
      <c r="C14" s="4" t="s">
        <v>196</v>
      </c>
      <c r="D14" s="4" t="s">
        <v>197</v>
      </c>
      <c r="E14" s="4" t="s">
        <v>118</v>
      </c>
      <c r="F14" s="4" t="s">
        <v>198</v>
      </c>
    </row>
    <row r="15" spans="1:6" ht="27" x14ac:dyDescent="0.3">
      <c r="A15" s="4" t="s">
        <v>141</v>
      </c>
      <c r="B15" s="4" t="s">
        <v>143</v>
      </c>
      <c r="C15" s="4" t="s">
        <v>143</v>
      </c>
      <c r="D15" s="4" t="s">
        <v>199</v>
      </c>
      <c r="E15" s="4" t="s">
        <v>118</v>
      </c>
      <c r="F15" s="4" t="s">
        <v>200</v>
      </c>
    </row>
    <row r="16" spans="1:6" ht="27" x14ac:dyDescent="0.3">
      <c r="A16" s="4" t="s">
        <v>144</v>
      </c>
      <c r="B16" s="4" t="s">
        <v>146</v>
      </c>
      <c r="C16" s="4" t="s">
        <v>201</v>
      </c>
      <c r="D16" s="4" t="s">
        <v>202</v>
      </c>
      <c r="E16" s="4" t="s">
        <v>118</v>
      </c>
      <c r="F16" s="4" t="s">
        <v>203</v>
      </c>
    </row>
    <row r="17" spans="1:6" ht="27" x14ac:dyDescent="0.3">
      <c r="A17" s="4" t="s">
        <v>147</v>
      </c>
      <c r="B17" s="4" t="s">
        <v>149</v>
      </c>
      <c r="C17" s="4" t="s">
        <v>204</v>
      </c>
      <c r="D17" s="4" t="s">
        <v>205</v>
      </c>
      <c r="E17" s="4" t="s">
        <v>206</v>
      </c>
      <c r="F17" s="4" t="s">
        <v>207</v>
      </c>
    </row>
    <row r="20" spans="1:6" x14ac:dyDescent="0.3">
      <c r="A20" s="1" t="s">
        <v>208</v>
      </c>
    </row>
    <row r="21" spans="1:6" x14ac:dyDescent="0.3">
      <c r="A21" s="15" t="s">
        <v>209</v>
      </c>
    </row>
    <row r="22" spans="1:6" x14ac:dyDescent="0.3">
      <c r="A22" s="22" t="s">
        <v>210</v>
      </c>
    </row>
    <row r="23" spans="1:6" x14ac:dyDescent="0.3">
      <c r="A23" s="22" t="s">
        <v>211</v>
      </c>
    </row>
    <row r="24" spans="1:6" x14ac:dyDescent="0.3">
      <c r="A24" s="1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F20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45" customWidth="1"/>
    <col min="3" max="3" width="70" customWidth="1"/>
    <col min="4" max="4" width="30" customWidth="1"/>
    <col min="5" max="5" width="12" customWidth="1"/>
    <col min="6" max="6" width="60" customWidth="1"/>
  </cols>
  <sheetData>
    <row r="1" spans="1:6" ht="17.399999999999999" x14ac:dyDescent="0.3">
      <c r="A1" s="11" t="s">
        <v>213</v>
      </c>
    </row>
    <row r="2" spans="1:6" x14ac:dyDescent="0.3">
      <c r="A2" s="2" t="s">
        <v>214</v>
      </c>
    </row>
    <row r="4" spans="1:6" x14ac:dyDescent="0.3">
      <c r="A4" s="3" t="s">
        <v>215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</row>
    <row r="5" spans="1:6" ht="39.6" x14ac:dyDescent="0.3">
      <c r="A5" s="23" t="s">
        <v>221</v>
      </c>
      <c r="B5" s="23" t="s">
        <v>222</v>
      </c>
      <c r="C5" s="23" t="s">
        <v>223</v>
      </c>
      <c r="D5" s="23" t="s">
        <v>224</v>
      </c>
      <c r="E5" s="23" t="s">
        <v>225</v>
      </c>
      <c r="F5" s="23" t="s">
        <v>226</v>
      </c>
    </row>
    <row r="6" spans="1:6" ht="26.4" x14ac:dyDescent="0.3">
      <c r="A6" s="23" t="s">
        <v>227</v>
      </c>
      <c r="B6" s="23" t="s">
        <v>228</v>
      </c>
      <c r="C6" s="23" t="s">
        <v>229</v>
      </c>
      <c r="D6" s="23" t="s">
        <v>230</v>
      </c>
      <c r="E6" s="23" t="s">
        <v>231</v>
      </c>
      <c r="F6" s="23" t="s">
        <v>232</v>
      </c>
    </row>
    <row r="7" spans="1:6" ht="26.4" x14ac:dyDescent="0.3">
      <c r="A7" s="23" t="s">
        <v>233</v>
      </c>
      <c r="B7" s="23" t="s">
        <v>234</v>
      </c>
      <c r="C7" s="23" t="s">
        <v>235</v>
      </c>
      <c r="D7" s="23" t="s">
        <v>236</v>
      </c>
      <c r="E7" s="23" t="s">
        <v>237</v>
      </c>
      <c r="F7" s="23" t="s">
        <v>238</v>
      </c>
    </row>
    <row r="8" spans="1:6" ht="26.4" x14ac:dyDescent="0.3">
      <c r="A8" s="23" t="s">
        <v>239</v>
      </c>
      <c r="B8" s="23" t="s">
        <v>240</v>
      </c>
      <c r="C8" s="23" t="s">
        <v>241</v>
      </c>
      <c r="D8" s="23" t="s">
        <v>242</v>
      </c>
      <c r="E8" s="23" t="s">
        <v>243</v>
      </c>
      <c r="F8" s="23" t="s">
        <v>244</v>
      </c>
    </row>
    <row r="9" spans="1:6" x14ac:dyDescent="0.3">
      <c r="A9" s="23" t="s">
        <v>245</v>
      </c>
      <c r="B9" s="23" t="s">
        <v>246</v>
      </c>
      <c r="C9" s="23" t="s">
        <v>247</v>
      </c>
      <c r="D9" s="23" t="s">
        <v>248</v>
      </c>
      <c r="E9" s="23" t="s">
        <v>243</v>
      </c>
      <c r="F9" s="23" t="s">
        <v>249</v>
      </c>
    </row>
    <row r="10" spans="1:6" ht="26.4" x14ac:dyDescent="0.3">
      <c r="A10" s="23" t="s">
        <v>250</v>
      </c>
      <c r="B10" s="23" t="s">
        <v>251</v>
      </c>
      <c r="C10" s="23" t="s">
        <v>252</v>
      </c>
      <c r="D10" s="23" t="s">
        <v>253</v>
      </c>
      <c r="E10" s="23" t="s">
        <v>243</v>
      </c>
      <c r="F10" s="23" t="s">
        <v>254</v>
      </c>
    </row>
    <row r="11" spans="1:6" ht="26.4" x14ac:dyDescent="0.3">
      <c r="A11" s="23" t="s">
        <v>255</v>
      </c>
      <c r="B11" s="23" t="s">
        <v>256</v>
      </c>
      <c r="C11" s="23" t="s">
        <v>257</v>
      </c>
      <c r="D11" s="23" t="s">
        <v>258</v>
      </c>
      <c r="E11" s="23" t="s">
        <v>243</v>
      </c>
      <c r="F11" s="23" t="s">
        <v>259</v>
      </c>
    </row>
    <row r="13" spans="1:6" x14ac:dyDescent="0.3">
      <c r="A13" s="1" t="s">
        <v>260</v>
      </c>
    </row>
    <row r="14" spans="1:6" ht="40.200000000000003" x14ac:dyDescent="0.3">
      <c r="A14" s="1" t="s">
        <v>261</v>
      </c>
      <c r="B14" s="24" t="s">
        <v>262</v>
      </c>
    </row>
    <row r="15" spans="1:6" ht="40.200000000000003" x14ac:dyDescent="0.3">
      <c r="A15" s="1" t="s">
        <v>263</v>
      </c>
      <c r="B15" s="24" t="s">
        <v>264</v>
      </c>
    </row>
    <row r="16" spans="1:6" ht="40.200000000000003" x14ac:dyDescent="0.3">
      <c r="A16" s="1" t="s">
        <v>265</v>
      </c>
      <c r="B16" s="24" t="s">
        <v>266</v>
      </c>
    </row>
    <row r="17" spans="1:2" ht="27" x14ac:dyDescent="0.3">
      <c r="A17" s="1" t="s">
        <v>267</v>
      </c>
      <c r="B17" s="24" t="s">
        <v>268</v>
      </c>
    </row>
    <row r="18" spans="1:2" ht="40.200000000000003" x14ac:dyDescent="0.3">
      <c r="A18" s="1" t="s">
        <v>269</v>
      </c>
      <c r="B18" s="24" t="s">
        <v>270</v>
      </c>
    </row>
    <row r="19" spans="1:2" ht="27" x14ac:dyDescent="0.3">
      <c r="A19" s="1" t="s">
        <v>271</v>
      </c>
      <c r="B19" s="24" t="s">
        <v>272</v>
      </c>
    </row>
    <row r="20" spans="1:2" ht="40.200000000000003" x14ac:dyDescent="0.3">
      <c r="A20" s="1" t="s">
        <v>273</v>
      </c>
      <c r="B20" s="24" t="s">
        <v>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571C5E-E618-46A9-9EBA-B3EDA23C5139}">
  <ds:schemaRefs>
    <ds:schemaRef ds:uri="http://schemas.microsoft.com/office/2006/metadata/properties"/>
    <ds:schemaRef ds:uri="http://schemas.microsoft.com/office/infopath/2007/PartnerControls"/>
    <ds:schemaRef ds:uri="ee5d6ee9-6b90-4973-875c-30ee5d95ff57"/>
    <ds:schemaRef ds:uri="a2e62541-ed63-42e0-be49-5b4b52f4e389"/>
  </ds:schemaRefs>
</ds:datastoreItem>
</file>

<file path=customXml/itemProps2.xml><?xml version="1.0" encoding="utf-8"?>
<ds:datastoreItem xmlns:ds="http://schemas.openxmlformats.org/officeDocument/2006/customXml" ds:itemID="{C02D21F1-9429-4FB6-92BF-F0744F7228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DBC416-3CA9-4CAD-983E-739BC8319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d6ee9-6b90-4973-875c-30ee5d95ff57"/>
    <ds:schemaRef ds:uri="a2e62541-ed63-42e0-be49-5b4b52f4e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1_OSTRAM_Profiles</vt:lpstr>
      <vt:lpstr>2_Monthly_Demand</vt:lpstr>
      <vt:lpstr>3_NREL_Hourly</vt:lpstr>
      <vt:lpstr>4_NDOR_Analysis</vt:lpstr>
      <vt:lpstr>5_Cross_Validation</vt:lpstr>
      <vt:lpstr>6_Sources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Natalia Victor-Gallardo</cp:lastModifiedBy>
  <cp:revision>0</cp:revision>
  <dcterms:created xsi:type="dcterms:W3CDTF">2026-03-12T08:07:44Z</dcterms:created>
  <dcterms:modified xsi:type="dcterms:W3CDTF">2026-03-13T22:08:15Z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