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lgcr-my.sharepoint.com/personal/nvictor_clg-cr_com/Documents/TX_ASIA/0country infraestructure/"/>
    </mc:Choice>
  </mc:AlternateContent>
  <xr:revisionPtr revIDLastSave="6" documentId="11_EB3C905BF1E9316E701C5BB75621E8BB660A4D5F" xr6:coauthVersionLast="47" xr6:coauthVersionMax="47" xr10:uidLastSave="{708DC6D7-429C-483A-BB8C-F56A95E239FF}"/>
  <bookViews>
    <workbookView xWindow="-23148" yWindow="-1572" windowWidth="23256" windowHeight="12456" firstSheet="1" activeTab="4" xr2:uid="{00000000-000D-0000-FFFF-FFFF00000000}"/>
  </bookViews>
  <sheets>
    <sheet name="Existing Generation" sheetId="1" r:id="rId1"/>
    <sheet name="Generation Summary" sheetId="2" r:id="rId2"/>
    <sheet name="Existing Interconnections" sheetId="3" r:id="rId3"/>
    <sheet name="Planned Interconnections" sheetId="4" r:id="rId4"/>
    <sheet name="Existing Transmission" sheetId="5" r:id="rId5"/>
    <sheet name="Planned Transmission" sheetId="6" r:id="rId6"/>
    <sheet name="Planned Generation" sheetId="7" r:id="rId7"/>
    <sheet name="Additional Data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2" l="1"/>
  <c r="E13" i="2"/>
  <c r="D13" i="2"/>
  <c r="C13" i="2"/>
  <c r="B13" i="2"/>
</calcChain>
</file>

<file path=xl/sharedStrings.xml><?xml version="1.0" encoding="utf-8"?>
<sst xmlns="http://schemas.openxmlformats.org/spreadsheetml/2006/main" count="1390" uniqueCount="859">
  <si>
    <t>BHUTAN — Existing Power Generation</t>
  </si>
  <si>
    <t>Source: Bhutan Power Corporation Limited – Power Data Book 2024 (BPC PDB 2024)</t>
  </si>
  <si>
    <t>Plant Name</t>
  </si>
  <si>
    <t>Zone</t>
  </si>
  <si>
    <t>Fuel Type</t>
  </si>
  <si>
    <t>Owner Type</t>
  </si>
  <si>
    <t>Owner</t>
  </si>
  <si>
    <t>Installed Capacity (MW)</t>
  </si>
  <si>
    <t>Derated Capacity (MW)</t>
  </si>
  <si>
    <t>Technology</t>
  </si>
  <si>
    <t>Status</t>
  </si>
  <si>
    <t>Notes</t>
  </si>
  <si>
    <t>Tala Hydropower Plant</t>
  </si>
  <si>
    <t>West</t>
  </si>
  <si>
    <t>Hydro</t>
  </si>
  <si>
    <t>Public</t>
  </si>
  <si>
    <t>Druk Green Power Corporation (DGPC)</t>
  </si>
  <si>
    <t>Run-of-River</t>
  </si>
  <si>
    <t>Operational</t>
  </si>
  <si>
    <t>6×170 MW units; largest plant in Bhutan; 4,642 MU generated in 2024 (39.85% of total)</t>
  </si>
  <si>
    <t>Mangdechhu Hydropower Plant</t>
  </si>
  <si>
    <t>Central</t>
  </si>
  <si>
    <t>Mangdechhu Hydropower Authority (MHPA)</t>
  </si>
  <si>
    <t>4×180 MW units; 3,565 MU generated in 2024 (30.60% of total)</t>
  </si>
  <si>
    <t>Chhukha Hydropower Plant</t>
  </si>
  <si>
    <t>4×84 MW units; 1,771 MU generated in 2024 (15.20% of total)</t>
  </si>
  <si>
    <t>Dagachhu Hydropower Plant</t>
  </si>
  <si>
    <t>South-West</t>
  </si>
  <si>
    <t>2×126 MW units; 449 MU generated in 2024 (3.86%)</t>
  </si>
  <si>
    <t>Nikachhu Hydropower Plant</t>
  </si>
  <si>
    <t>2×59 MW units; commenced generation in 2024; 513 MU generated</t>
  </si>
  <si>
    <t>Kurichhu Hydropower Plant</t>
  </si>
  <si>
    <t>East</t>
  </si>
  <si>
    <t>4×15 MW units; 393 MU generated in 2024 (3.38%)</t>
  </si>
  <si>
    <t>Basochhu Hydropower Plant</t>
  </si>
  <si>
    <t>2×12 MW + 2×20 MW units; 303 MU generated in 2024 (2.60%)</t>
  </si>
  <si>
    <t>Punatsangchhu-II Hydropower Plant (PHP-II)</t>
  </si>
  <si>
    <t>Operational (partial)</t>
  </si>
  <si>
    <t>6×170 MW; commenced 2024; 12.23 MU generated; ramp-up phase</t>
  </si>
  <si>
    <t>Mini/Micro Hydel Plants (various)</t>
  </si>
  <si>
    <t>National</t>
  </si>
  <si>
    <t>Public / Community</t>
  </si>
  <si>
    <t>BPC / Various</t>
  </si>
  <si>
    <t>-</t>
  </si>
  <si>
    <t>Mini/Micro Hydel</t>
  </si>
  <si>
    <t>Total mini/micro generation: 16.90 MU in 2024; embedded in distribution network</t>
  </si>
  <si>
    <t>DSP Solar Plant</t>
  </si>
  <si>
    <t>Solar</t>
  </si>
  <si>
    <t>Solar PV</t>
  </si>
  <si>
    <t>Solar tariff Nu. 3.64/kWh; 3.23 MU purchased by BPC in 2024</t>
  </si>
  <si>
    <t>Diesel Generator Sets (various)</t>
  </si>
  <si>
    <t>Diesel</t>
  </si>
  <si>
    <t>Diesel Generator</t>
  </si>
  <si>
    <t>Standby/Emergency</t>
  </si>
  <si>
    <t>Negligible generation recorded in 2024 (~0 MU); used as backup</t>
  </si>
  <si>
    <t>ℹ️  Source: Bhutan Power Corporation Limited – Power Data Book 2024 (BPC PDB 2024) | Total installed hydro capacity (DGPC): ~3,590 MW | Total generation 2024: 11,648.68 MU</t>
  </si>
  <si>
    <t>BHUTAN — Generation Summary &amp; Demand Statistics</t>
  </si>
  <si>
    <t>A. GENERATION BY PLANT (MU) — 2020 to 2024</t>
  </si>
  <si>
    <t>Plant</t>
  </si>
  <si>
    <t>2020</t>
  </si>
  <si>
    <t>2021</t>
  </si>
  <si>
    <t>2022</t>
  </si>
  <si>
    <t>2023</t>
  </si>
  <si>
    <t>2024</t>
  </si>
  <si>
    <t>Kurichhu HP (60 MW)</t>
  </si>
  <si>
    <t>4×15 MW</t>
  </si>
  <si>
    <t>Tala HP (1,020 MW)</t>
  </si>
  <si>
    <t>6×170 MW</t>
  </si>
  <si>
    <t>Chhukha HP (336 MW)</t>
  </si>
  <si>
    <t>4×84 MW</t>
  </si>
  <si>
    <t>Basochhu HP (64 MW)</t>
  </si>
  <si>
    <t>2×12+2×20 MW</t>
  </si>
  <si>
    <t>Mangdechhu HP (720 MW)</t>
  </si>
  <si>
    <t>4×180 MW</t>
  </si>
  <si>
    <t>Dagachhu HP (252 MW)</t>
  </si>
  <si>
    <t>2×126 MW</t>
  </si>
  <si>
    <t>Nikachhu HP (118 MW)</t>
  </si>
  <si>
    <t>New; 2×59 MW; commenced 2024</t>
  </si>
  <si>
    <t>PHP-II (1,020 MW)</t>
  </si>
  <si>
    <t>6×170 MW; ramp-up 2024</t>
  </si>
  <si>
    <t>TOTAL</t>
  </si>
  <si>
    <t>B. BPC ENERGY STATISTICS (MU) — 2020 to 2024</t>
  </si>
  <si>
    <t>Metric</t>
  </si>
  <si>
    <t>Total Energy Purchase by BPC (MU)</t>
  </si>
  <si>
    <t>Incl. mini-hydro, solar, import</t>
  </si>
  <si>
    <t>Total Energy Sales (MU)</t>
  </si>
  <si>
    <t>Energy Wheeled for Export (MU)</t>
  </si>
  <si>
    <t>BPC wheels surplus to India</t>
  </si>
  <si>
    <t>Total DGPC Generation (MU)</t>
  </si>
  <si>
    <t>Energy Export to India (MU)</t>
  </si>
  <si>
    <t>Via wheeling contracts</t>
  </si>
  <si>
    <t>Number of Customers</t>
  </si>
  <si>
    <t>5.03% growth in 2024</t>
  </si>
  <si>
    <t>C. NATIONAL PEAK DEMAND — 2020 to 2024</t>
  </si>
  <si>
    <t>Year</t>
  </si>
  <si>
    <t>Peak Load (MW)</t>
  </si>
  <si>
    <t>Date</t>
  </si>
  <si>
    <t>Time</t>
  </si>
  <si>
    <t>24-Dec-2020</t>
  </si>
  <si>
    <t>15:00</t>
  </si>
  <si>
    <t>27-Dec-2021</t>
  </si>
  <si>
    <t>18:02</t>
  </si>
  <si>
    <t>28-Dec-2022</t>
  </si>
  <si>
    <t>18:00</t>
  </si>
  <si>
    <t>30-Dec-2023</t>
  </si>
  <si>
    <t>25-Dec-2024</t>
  </si>
  <si>
    <t>18:38</t>
  </si>
  <si>
    <t>Leading substations: Jamjee 192.04 MW; 220kV Gedu (DHI) 149.1 MW; Singhigoan 170.1 MW</t>
  </si>
  <si>
    <t>D. SYSTEM LOSSES — 2020 to 2024</t>
  </si>
  <si>
    <t>Loss Metric</t>
  </si>
  <si>
    <t>Global System Losses (incl. Wheeling) %</t>
  </si>
  <si>
    <t>1.70%</t>
  </si>
  <si>
    <t>1.83%</t>
  </si>
  <si>
    <t>1.81%</t>
  </si>
  <si>
    <t>2.14%</t>
  </si>
  <si>
    <t>2.15%</t>
  </si>
  <si>
    <t>Transmission Loss (incl. Wheeling) %</t>
  </si>
  <si>
    <t>1.11%</t>
  </si>
  <si>
    <t>1.23%</t>
  </si>
  <si>
    <t>1.21%</t>
  </si>
  <si>
    <t>1.49%</t>
  </si>
  <si>
    <t>Distribution Losses (incl. HV Industries) %</t>
  </si>
  <si>
    <t>3.34%</t>
  </si>
  <si>
    <t>2.30%</t>
  </si>
  <si>
    <t>1.98%</t>
  </si>
  <si>
    <t>1.35%</t>
  </si>
  <si>
    <t>0.16%</t>
  </si>
  <si>
    <t>Improved due to HV industrial connections</t>
  </si>
  <si>
    <t>Distribution Losses (excl. HV Industries) %</t>
  </si>
  <si>
    <t>9.37%</t>
  </si>
  <si>
    <t>7.51%</t>
  </si>
  <si>
    <t>7.30%</t>
  </si>
  <si>
    <t>7.86%</t>
  </si>
  <si>
    <t>8.05%</t>
  </si>
  <si>
    <t>BHUTAN — Existing Power Interconnections (Cross-Border)</t>
  </si>
  <si>
    <t>Source: Bhutan Power Corporation Limited – Power Data Book 2024 (BPC PDB 2024) | National Transmission Grid Master Plan 2018</t>
  </si>
  <si>
    <t>Project</t>
  </si>
  <si>
    <t>From Country</t>
  </si>
  <si>
    <t>To Country</t>
  </si>
  <si>
    <t>From Point</t>
  </si>
  <si>
    <t>To Point</t>
  </si>
  <si>
    <t>Capacity (MW)</t>
  </si>
  <si>
    <t>Voltage Level</t>
  </si>
  <si>
    <t>DC/AC</t>
  </si>
  <si>
    <t>Directionality</t>
  </si>
  <si>
    <t>Operational Date</t>
  </si>
  <si>
    <t>400kV Tala–Siliguri Line 1&amp;2</t>
  </si>
  <si>
    <t>Bhutan</t>
  </si>
  <si>
    <t>India</t>
  </si>
  <si>
    <t>Tala Power House</t>
  </si>
  <si>
    <t>Siliguri (WB)</t>
  </si>
  <si>
    <t>~1,020</t>
  </si>
  <si>
    <t>400 kV</t>
  </si>
  <si>
    <t>AC</t>
  </si>
  <si>
    <t>HVAC Overhead Twin Moose ACSR D/C</t>
  </si>
  <si>
    <t>Export (Bhutan→India)</t>
  </si>
  <si>
    <t>2006</t>
  </si>
  <si>
    <t>24.62 km; primary export corridor for Tala HP</t>
  </si>
  <si>
    <t>400kV Tala–Malbase–Siliguri Line 3&amp;4</t>
  </si>
  <si>
    <t>Tala Power House (via Malbase)</t>
  </si>
  <si>
    <t>2008</t>
  </si>
  <si>
    <t>49.53 km route</t>
  </si>
  <si>
    <t>400kV Puna-I–Alipurduar Line 1&amp;2</t>
  </si>
  <si>
    <t>Punatsangchhu-I HP</t>
  </si>
  <si>
    <t>Alipurduar (WB)</t>
  </si>
  <si>
    <t>~1,200</t>
  </si>
  <si>
    <t>93.38 km</t>
  </si>
  <si>
    <t>400kV Puna-I–Puna-II Line 1&amp;2</t>
  </si>
  <si>
    <t>Punatsangchhu-II HP</t>
  </si>
  <si>
    <t>Internal</t>
  </si>
  <si>
    <t>Internal Transfer</t>
  </si>
  <si>
    <t>13.03 km</t>
  </si>
  <si>
    <t>400kV Puna-II–Alipurduar Line 1&amp;2</t>
  </si>
  <si>
    <t>80.85 km</t>
  </si>
  <si>
    <t>400kV Puna-II–Jigmeling Line 1&amp;2</t>
  </si>
  <si>
    <t>Jigmeling SS</t>
  </si>
  <si>
    <t>64.98 km</t>
  </si>
  <si>
    <t>400kV Mangdechhu–Jigmeling Line 1-4</t>
  </si>
  <si>
    <t>Mangdechhu HP</t>
  </si>
  <si>
    <t>2019</t>
  </si>
  <si>
    <t>85.07 km + 84.65 km (2 pairs)</t>
  </si>
  <si>
    <t>400kV Jigmeling–Alipurduar Line 1&amp;2</t>
  </si>
  <si>
    <t>~720</t>
  </si>
  <si>
    <t>HVAC Overhead Quad Moose ACSR D/C</t>
  </si>
  <si>
    <t>4.75 km; Mangdechhu export corridor</t>
  </si>
  <si>
    <t>220kV Chhukha–Birpara (India Border)</t>
  </si>
  <si>
    <t>Chhukha HP</t>
  </si>
  <si>
    <t>Birpara (WB)</t>
  </si>
  <si>
    <t>~336</t>
  </si>
  <si>
    <t>220 kV</t>
  </si>
  <si>
    <t>HVAC Overhead Zebra ACSR D/C</t>
  </si>
  <si>
    <t>1988</t>
  </si>
  <si>
    <t>35.46 km</t>
  </si>
  <si>
    <t>220kV Chhukha–Malbase–Siliguri</t>
  </si>
  <si>
    <t>Chhukha HP (via Malbase)</t>
  </si>
  <si>
    <t>HVAC Overhead Zebra ACSR S/C</t>
  </si>
  <si>
    <t>S/C feeder; 29.87 km</t>
  </si>
  <si>
    <t>220kV Malbase–India Border (Birpara)</t>
  </si>
  <si>
    <t>Malbase SS</t>
  </si>
  <si>
    <t>~100</t>
  </si>
  <si>
    <t>~8 km to border</t>
  </si>
  <si>
    <t>220kV Samtse–Singhigaon (India Border)</t>
  </si>
  <si>
    <t>Samtse SS</t>
  </si>
  <si>
    <t>India Border</t>
  </si>
  <si>
    <t>Export/Import</t>
  </si>
  <si>
    <t>~2022</t>
  </si>
  <si>
    <t>New corridor; 6 towers</t>
  </si>
  <si>
    <t>220kV Damdum–Norbugang (NIP)</t>
  </si>
  <si>
    <t>Damdum SS</t>
  </si>
  <si>
    <t>Norbugang Industrial Park</t>
  </si>
  <si>
    <t>6.46 km; serves Norbugang Industrial Park</t>
  </si>
  <si>
    <t>132kV Deothang–Motanga–India Border</t>
  </si>
  <si>
    <t>Deothang SS</t>
  </si>
  <si>
    <t>India Border (Assam)</t>
  </si>
  <si>
    <t>~60</t>
  </si>
  <si>
    <t>132 kV</t>
  </si>
  <si>
    <t>HVAC Overhead Panther ACSR S/C</t>
  </si>
  <si>
    <t>Export + Emergency Import</t>
  </si>
  <si>
    <t>~2010</t>
  </si>
  <si>
    <t>Samdrup Jongkhar corridor; ASEB import possible</t>
  </si>
  <si>
    <t>132kV Gelephu–Salakati (India Border)</t>
  </si>
  <si>
    <t>Gelephu SS</t>
  </si>
  <si>
    <t>Salakati (Assam)</t>
  </si>
  <si>
    <t>~50</t>
  </si>
  <si>
    <t>Export/Emergency Import</t>
  </si>
  <si>
    <t>0.10 km at border; Gelephu corridor</t>
  </si>
  <si>
    <t>66kV Samtse–Sibsoo (India area)</t>
  </si>
  <si>
    <t>Sibsoo (WB)</t>
  </si>
  <si>
    <t>~30</t>
  </si>
  <si>
    <t>66 kV</t>
  </si>
  <si>
    <t>HVAC Overhead Wolf ACSR D/C</t>
  </si>
  <si>
    <t>Historic</t>
  </si>
  <si>
    <t>26.96 km; southern Bhutan–WB link</t>
  </si>
  <si>
    <t>66kV Phuentsholing–Gomtu (southward)</t>
  </si>
  <si>
    <t>India/Bhutan</t>
  </si>
  <si>
    <t>Phuentsholing SS</t>
  </si>
  <si>
    <t>Gomtu</t>
  </si>
  <si>
    <t>HVAC Overhead Dog ACSR S/C</t>
  </si>
  <si>
    <t>Internal/Export</t>
  </si>
  <si>
    <t>27.35 km</t>
  </si>
  <si>
    <t>ℹ️  Source: Bhutan Power Corporation Limited – Power Data Book 2024 (BPC PDB 2024) | Source: National Transmission Grid Master Plan 2018 | Total 400kV transmission: 500.86 km | Total cross-border capacity: &gt;3,500 MW export</t>
  </si>
  <si>
    <t>BHUTAN — Planned / Proposed Power Interconnections</t>
  </si>
  <si>
    <t>Source: Bhutan Power System Master Plan 2040 | Source: National Transmission Grid Master Plan 2018</t>
  </si>
  <si>
    <t>Function</t>
  </si>
  <si>
    <t>Background / Rationale</t>
  </si>
  <si>
    <t>Expected COD</t>
  </si>
  <si>
    <t>Source</t>
  </si>
  <si>
    <t>Punatsangchhu-I Export Line (additional)</t>
  </si>
  <si>
    <t>Alipurduar</t>
  </si>
  <si>
    <t>Export</t>
  </si>
  <si>
    <t>1,200</t>
  </si>
  <si>
    <t>Additional export capacity for PHP-I; Power System Master Plan 2040 identified need for additional evacuation capacity</t>
  </si>
  <si>
    <t>Post 2025</t>
  </si>
  <si>
    <t>Planned</t>
  </si>
  <si>
    <t>Source: Bhutan Power System Master Plan 2040</t>
  </si>
  <si>
    <t>Bunakha Reservoir–India Interconnection</t>
  </si>
  <si>
    <t>Bunakha (West Bhutan)</t>
  </si>
  <si>
    <t>India (WB)</t>
  </si>
  <si>
    <t>2,400</t>
  </si>
  <si>
    <t>Proposed for Bunakha Reservoir Hydropower Project (4×600 MW); Master Plan 2040 envisions major new export corridor</t>
  </si>
  <si>
    <t>Post 2030</t>
  </si>
  <si>
    <t>Proposed</t>
  </si>
  <si>
    <t>Kholongchhu HP Export Line</t>
  </si>
  <si>
    <t>Kholongchhu (East Bhutan)</t>
  </si>
  <si>
    <t>Assam/WB</t>
  </si>
  <si>
    <t>600</t>
  </si>
  <si>
    <t>Export evacuation for Kholongchhu HP (600 MW); Eastern Bhutan export corridor development</t>
  </si>
  <si>
    <t>Post 2027</t>
  </si>
  <si>
    <t>Under Study</t>
  </si>
  <si>
    <t>Source: National Transmission Grid Master Plan 2018</t>
  </si>
  <si>
    <t>Dorjilung HP Export Line</t>
  </si>
  <si>
    <t>Dorjilung (South Bhutan)</t>
  </si>
  <si>
    <t>Assam</t>
  </si>
  <si>
    <t>1,125</t>
  </si>
  <si>
    <t>Proposed export for Dorjilung HP; requires new India interconnection in Assam sector</t>
  </si>
  <si>
    <t>Chamkharchhu HP Export Line</t>
  </si>
  <si>
    <t>Chamkharchhu (Central)</t>
  </si>
  <si>
    <t>670</t>
  </si>
  <si>
    <t>Planned export corridor for Chamkharchhu Hydropower Project</t>
  </si>
  <si>
    <t>Post 2028</t>
  </si>
  <si>
    <t>South Asia Subregional Economic Cooperation (SASEC) Grid</t>
  </si>
  <si>
    <t>Bangladesh/India/Nepal</t>
  </si>
  <si>
    <t>TBD</t>
  </si>
  <si>
    <t>Multi-directional</t>
  </si>
  <si>
    <t>Regional power trade under SASEC framework; Bhutan as potential power exporter to Bangladesh via India</t>
  </si>
  <si>
    <t>Concept</t>
  </si>
  <si>
    <t>Gelephu Mindfulness City (GMC) Grid Interconnection</t>
  </si>
  <si>
    <t>Gelephu (S. Bhutan)</t>
  </si>
  <si>
    <t>220/400 kV</t>
  </si>
  <si>
    <t>Import/Export</t>
  </si>
  <si>
    <t>500</t>
  </si>
  <si>
    <t>New interconnection to serve GMC Special Administrative Region (SAR); large industrial/urban development planned; high import requirement initially</t>
  </si>
  <si>
    <t>2027-2030</t>
  </si>
  <si>
    <t>Under Planning</t>
  </si>
  <si>
    <t>Power System Master Plan 2040 + Bhutan Gov.</t>
  </si>
  <si>
    <t>ℹ️  Source: Bhutan Power System Master Plan 2040 | Note: Planned projects subject to bilateral agreements with India; actual CODs may vary significantly</t>
  </si>
  <si>
    <t>BHUTAN — Existing Transmission Infrastructure (as of December 2024)</t>
  </si>
  <si>
    <t>A. TRANSMISSION LINES BY VOLTAGE LEVEL</t>
  </si>
  <si>
    <t>Circuit Type</t>
  </si>
  <si>
    <t>Route Length (km) 2024</t>
  </si>
  <si>
    <t># Towers</t>
  </si>
  <si>
    <t>Conductor Type</t>
  </si>
  <si>
    <t>From – To (Examples)</t>
  </si>
  <si>
    <t>2022 Length</t>
  </si>
  <si>
    <t>2023 Length</t>
  </si>
  <si>
    <t>D/C Twin Moose ACSR</t>
  </si>
  <si>
    <t>Twin Moose ACSR</t>
  </si>
  <si>
    <t>Tala→Siliguri; MHP→Jigmeling; Puna-I→Alipurduar; Puna-II→Alipurduar/Jigmeling; MHP→Jigmeling</t>
  </si>
  <si>
    <t>Primary export backbone</t>
  </si>
  <si>
    <t>D/C Quad Moose ACSR</t>
  </si>
  <si>
    <t>Quad Moose ACSR</t>
  </si>
  <si>
    <t>Jigmeling→Alipurduar</t>
  </si>
  <si>
    <t>Short border section</t>
  </si>
  <si>
    <t>S/C Zebra ACSR</t>
  </si>
  <si>
    <t>Zebra ACSR</t>
  </si>
  <si>
    <t>Chhukha→Malbase; Semtokha→Rurichhu; Rurichhu→Tsirang; Singhigoan border section</t>
  </si>
  <si>
    <t>D/C Zebra ACSR</t>
  </si>
  <si>
    <t>Chhukha→Birpara; Malbase→Samtse; Tsirang→Jigmeling; Dagachhu→Tsirang; Damdum→Norbugang</t>
  </si>
  <si>
    <t>New sections added 2024</t>
  </si>
  <si>
    <t>S/C Panther ACSR</t>
  </si>
  <si>
    <t>Panther ACSR</t>
  </si>
  <si>
    <t>Kurichhu→Nangkhor→Deothang→Motanga; Nganglam→Tingtibi; Gelephu→Tintibi</t>
  </si>
  <si>
    <t>Eastern Bhutan backbone</t>
  </si>
  <si>
    <t>D/C Panther ACSR</t>
  </si>
  <si>
    <t>Jigmeling→Pelrithang; Motanga→Phuntshothang; Kanglung→Phuntshothang; Nganglam→Motanga; Nikachhu→Mangdechhu</t>
  </si>
  <si>
    <t>S/C Dog/Wolf ACSR</t>
  </si>
  <si>
    <t>Dog ACSR / Wolf ACSR / HTLS ACCC</t>
  </si>
  <si>
    <t>Chhukha→Chumdo; Semtokha→Habesa; Jamjee→Paro/Haa; Dechencholing→Gasa; Chukha→Gedu→Phuentsholing; Yurmoo→Bumthang</t>
  </si>
  <si>
    <t>Distribution to remote dzongkhags</t>
  </si>
  <si>
    <t>D/C Wolf ACSR</t>
  </si>
  <si>
    <t>Wolf ACSR</t>
  </si>
  <si>
    <t>Khasadrapchu→Jemina; Jemina→Changedaphu; Samtse→Sibsoo; Damdum→Gomtu</t>
  </si>
  <si>
    <t>Quad/C Dog ACSR</t>
  </si>
  <si>
    <t>Dog ACSR</t>
  </si>
  <si>
    <t>Malbase→Pasakha (multi-circuit)</t>
  </si>
  <si>
    <t>Industrial area feed</t>
  </si>
  <si>
    <t>Underground Cable (HV)</t>
  </si>
  <si>
    <t>XLPE Cable</t>
  </si>
  <si>
    <t>Khasadrapchu→Olakha; Pasakha Industrial; SW31→Dochula SS</t>
  </si>
  <si>
    <t>66kV underground sections</t>
  </si>
  <si>
    <t>All</t>
  </si>
  <si>
    <t>1,836.97</t>
  </si>
  <si>
    <t>5,050</t>
  </si>
  <si>
    <t>Various</t>
  </si>
  <si>
    <t>Total route length grew from 1,736.86 km (2023) to 1,836.97 km (2024)</t>
  </si>
  <si>
    <t>B. MAJOR TRANSMISSION SUBSTATIONS (as of December 2024)</t>
  </si>
  <si>
    <t>Substation</t>
  </si>
  <si>
    <t>Type</t>
  </si>
  <si>
    <t>Voltage Ratio (kV)</t>
  </si>
  <si>
    <t>Capacity (MVA)</t>
  </si>
  <si>
    <t>TOMS Region</t>
  </si>
  <si>
    <t>2020 Capacity</t>
  </si>
  <si>
    <t>2021 Capacity</t>
  </si>
  <si>
    <t>2022 Capacity</t>
  </si>
  <si>
    <t>Malbase</t>
  </si>
  <si>
    <t>AIS</t>
  </si>
  <si>
    <t>400/220/33 + 220/66 + 66/11</t>
  </si>
  <si>
    <t>TOMS Pling</t>
  </si>
  <si>
    <t>Key export hub; PHP-I/II interconnection</t>
  </si>
  <si>
    <t>Jigmeling</t>
  </si>
  <si>
    <t>AIS + GIS (Bitdeer)</t>
  </si>
  <si>
    <t>400/220 + 220/132 + 132/33</t>
  </si>
  <si>
    <t>700</t>
  </si>
  <si>
    <t>TOMS Jigmeling</t>
  </si>
  <si>
    <t>Major central hub; MHP + PHP-II evacuation</t>
  </si>
  <si>
    <t>Semtokha</t>
  </si>
  <si>
    <t>220/66 + 66/11</t>
  </si>
  <si>
    <t>176</t>
  </si>
  <si>
    <t>TOMS Semtokha</t>
  </si>
  <si>
    <t>Thimphu supply hub</t>
  </si>
  <si>
    <t>Jamjee</t>
  </si>
  <si>
    <t>GIS</t>
  </si>
  <si>
    <t>220/66 + 66/33 + 66/11</t>
  </si>
  <si>
    <t>300</t>
  </si>
  <si>
    <t>Key west-central SS; peak 192.04 MW (2024)</t>
  </si>
  <si>
    <t>Gedu (220kV)</t>
  </si>
  <si>
    <t>220/66</t>
  </si>
  <si>
    <t>160</t>
  </si>
  <si>
    <t>New 220kV; DHI farm supply</t>
  </si>
  <si>
    <t>Singhigaon</t>
  </si>
  <si>
    <t>66/33+11</t>
  </si>
  <si>
    <t>189</t>
  </si>
  <si>
    <t>Norbugang industrial hub; peak 170.1 MW</t>
  </si>
  <si>
    <t>Phuentsholing</t>
  </si>
  <si>
    <t>66/33/11</t>
  </si>
  <si>
    <t>60</t>
  </si>
  <si>
    <t>Border city supply</t>
  </si>
  <si>
    <t>Dechencholing</t>
  </si>
  <si>
    <t>North Thimphu; peak 42.57 MW</t>
  </si>
  <si>
    <t>Olakha</t>
  </si>
  <si>
    <t>66/33</t>
  </si>
  <si>
    <t>40</t>
  </si>
  <si>
    <t>Thimphu industrial</t>
  </si>
  <si>
    <t>Gelephu</t>
  </si>
  <si>
    <t>132/33 + 33/11</t>
  </si>
  <si>
    <t>50</t>
  </si>
  <si>
    <t>TOMS Tingtibi</t>
  </si>
  <si>
    <t>Gelephu Mindfulness City supply point; future growth</t>
  </si>
  <si>
    <t>Motanga</t>
  </si>
  <si>
    <t>132/33</t>
  </si>
  <si>
    <t>15</t>
  </si>
  <si>
    <t>TOMS Deothang</t>
  </si>
  <si>
    <t>Samdrup Jongkhar area; India interconnection</t>
  </si>
  <si>
    <t>Dagapela</t>
  </si>
  <si>
    <t>220/33</t>
  </si>
  <si>
    <t>80</t>
  </si>
  <si>
    <t>TOMS Tsirang</t>
  </si>
  <si>
    <t>Dagachhu HP output; Dagana supply</t>
  </si>
  <si>
    <t>Tsirang (Darjey)</t>
  </si>
  <si>
    <t>20</t>
  </si>
  <si>
    <t>Dagachhu/Dagapela distribution</t>
  </si>
  <si>
    <t>Yurmoo</t>
  </si>
  <si>
    <t>30</t>
  </si>
  <si>
    <t>Central eastern hub</t>
  </si>
  <si>
    <t>Pangbesa</t>
  </si>
  <si>
    <t>TOMS Lobyesa</t>
  </si>
  <si>
    <t>Paro valley supply</t>
  </si>
  <si>
    <t>Lobeysa</t>
  </si>
  <si>
    <t>Punakha supply</t>
  </si>
  <si>
    <t>Damji (GIS)</t>
  </si>
  <si>
    <t>Gasa/Punakha northern supply</t>
  </si>
  <si>
    <t>TOTAL TRANSFORMATION CAPACITY</t>
  </si>
  <si>
    <t>3,478</t>
  </si>
  <si>
    <t>Grew from 2,735.5 MVA (2023) to 3,478 MVA (2024)</t>
  </si>
  <si>
    <t>C. DISTRIBUTION NETWORK SUMMARY (as of December 2024)</t>
  </si>
  <si>
    <t>Network Level</t>
  </si>
  <si>
    <t>Route Length 2024 (km)</t>
  </si>
  <si>
    <t>Route Length 2023</t>
  </si>
  <si>
    <t>Route Length 2022</t>
  </si>
  <si>
    <t>Route Length 2021</t>
  </si>
  <si>
    <t>Route Length 2020</t>
  </si>
  <si>
    <t>Transformer Capacity (kVA)</t>
  </si>
  <si>
    <t>33 kV Lines</t>
  </si>
  <si>
    <t>19 dzongkhags; main MV backbone</t>
  </si>
  <si>
    <t>11 kV Lines</t>
  </si>
  <si>
    <t>6.6 kV Lines</t>
  </si>
  <si>
    <t>Legacy voltage; being phased out</t>
  </si>
  <si>
    <t>LV Lines (415/230V)</t>
  </si>
  <si>
    <t>Last-mile customer connections</t>
  </si>
  <si>
    <t>TOTAL Distribution Lines</t>
  </si>
  <si>
    <t>Distribution Transformer Capacity</t>
  </si>
  <si>
    <t>1,344,651</t>
  </si>
  <si>
    <t>1,157,581</t>
  </si>
  <si>
    <t>1,046,742</t>
  </si>
  <si>
    <t>959,187</t>
  </si>
  <si>
    <t>908,036</t>
  </si>
  <si>
    <t>kVA; 5,746 BPC transformers + 6,461 private</t>
  </si>
  <si>
    <t>BHUTAN — Planned / Under-Development Transmission Projects</t>
  </si>
  <si>
    <t>From</t>
  </si>
  <si>
    <t>To</t>
  </si>
  <si>
    <t>Capacity / Length</t>
  </si>
  <si>
    <t>Gelephu 400kV Substation &amp; Evacuation Line</t>
  </si>
  <si>
    <t>Mangdechhu/Jigmeling grid</t>
  </si>
  <si>
    <t>Gelephu (GMC SAR)</t>
  </si>
  <si>
    <t>Power supply to Gelephu Mindfulness City; future export corridor to Bangladesh</t>
  </si>
  <si>
    <t>~100 km; 400kV SS 500 MVA</t>
  </si>
  <si>
    <t>Gelephu Mindfulness City (GMC) Special Administrative Region requires massive new power infrastructure; planned as major economic hub</t>
  </si>
  <si>
    <t>2026-2028</t>
  </si>
  <si>
    <t>Under Planning / EPC Tender</t>
  </si>
  <si>
    <t>220kV Tshendagang–Dagapela Upgrade</t>
  </si>
  <si>
    <t>Tshendagang (Dagachhu)</t>
  </si>
  <si>
    <t>Dagapela SS</t>
  </si>
  <si>
    <t>Strengthen south-central grid; reduce outage risk</t>
  </si>
  <si>
    <t>LILO upgrade; ~5 km</t>
  </si>
  <si>
    <t>Existing LILO commissioned; capacity expansion needed for Dagana industrial growth</t>
  </si>
  <si>
    <t>2025-2026</t>
  </si>
  <si>
    <t>Under Implementation</t>
  </si>
  <si>
    <t>220kV Rurichhu–PHPA-I LILO</t>
  </si>
  <si>
    <t>Rurichhu SS</t>
  </si>
  <si>
    <t>PHPA-I (PHP-I)</t>
  </si>
  <si>
    <t>Integration of PHP-I into main grid</t>
  </si>
  <si>
    <t>~2.4 km LILO</t>
  </si>
  <si>
    <t>Required for full PHP-I evacuation and grid stability</t>
  </si>
  <si>
    <t>2024-2025</t>
  </si>
  <si>
    <t>Under Construction</t>
  </si>
  <si>
    <t>132kV Merung–Corlung Upgrade (D/C)</t>
  </si>
  <si>
    <t>Merung</t>
  </si>
  <si>
    <t>Corlung</t>
  </si>
  <si>
    <t>Strengthen eastern grid reliability</t>
  </si>
  <si>
    <t>18.68 km D/C</t>
  </si>
  <si>
    <t>Eastern Bhutan (Trashigang/Mongar) load growth requires additional capacity</t>
  </si>
  <si>
    <t>2025-2027</t>
  </si>
  <si>
    <t>132kV Kanglung–Phuntshothang (Full D/C stringing)</t>
  </si>
  <si>
    <t>Kanglung SS</t>
  </si>
  <si>
    <t>Phuntshothang SS</t>
  </si>
  <si>
    <t>Reliability; currently single-strung D/C towers</t>
  </si>
  <si>
    <t>51.43 km</t>
  </si>
  <si>
    <t>Currently single-strung; full stringing to double capacity for eastern industrial park</t>
  </si>
  <si>
    <t>132kV Nganglam–Motanga (D/C stringing)</t>
  </si>
  <si>
    <t>Nganglam SS</t>
  </si>
  <si>
    <t>Motanga SS</t>
  </si>
  <si>
    <t>Reliability upgrade</t>
  </si>
  <si>
    <t>34.92 km</t>
  </si>
  <si>
    <t>Currently single-strung; upgrade for Samdrup Jongkhar area load growth</t>
  </si>
  <si>
    <t>400kV Jigmeling–Punatsangchhu-II Integration</t>
  </si>
  <si>
    <t>PHP-II powerhouse</t>
  </si>
  <si>
    <t>Full evacuation capacity for PHP-II (1,020 MW)</t>
  </si>
  <si>
    <t>~65 km</t>
  </si>
  <si>
    <t>As PHP-II ramps up generation, additional evacuation capacity required beyond existing 400kV links</t>
  </si>
  <si>
    <t>2025</t>
  </si>
  <si>
    <t>Under Commissioning</t>
  </si>
  <si>
    <t>66kV Samtse–Norbugang Industrial Park Upgrades</t>
  </si>
  <si>
    <t>Norbugang (NIP)</t>
  </si>
  <si>
    <t>66 kV / 220 kV</t>
  </si>
  <si>
    <t>Industrial park power supply</t>
  </si>
  <si>
    <t>New feeders + SS capacity</t>
  </si>
  <si>
    <t>Norbugang Industrial Park load growth; existing 220kV Damdum–Norbugang to be supplemented</t>
  </si>
  <si>
    <t>Smart Grid &amp; SCADA Upgrade (National)</t>
  </si>
  <si>
    <t>All Voltages</t>
  </si>
  <si>
    <t>Automation; real-time monitoring; fault isolation</t>
  </si>
  <si>
    <t>National SCADA rollout</t>
  </si>
  <si>
    <t>BPC investing in automation and smart grid technology per PDB 2024 Executive Summary; improve reliability indices</t>
  </si>
  <si>
    <t>2025-2030</t>
  </si>
  <si>
    <t>Ongoing/Rolling</t>
  </si>
  <si>
    <t>Rural Electrification – Remaining 0.03% Households</t>
  </si>
  <si>
    <t>National (remote areas)</t>
  </si>
  <si>
    <t>LV Extension</t>
  </si>
  <si>
    <t>Achieve 100% rural electrification</t>
  </si>
  <si>
    <t>~0.03% remaining</t>
  </si>
  <si>
    <t>As of Dec 2024, 99.97% RE achieved; remaining connections in extremely remote areas (Highlander communities)</t>
  </si>
  <si>
    <t>Near Completion</t>
  </si>
  <si>
    <t>Optical Fiber OPGW Expansion</t>
  </si>
  <si>
    <t>National TL network</t>
  </si>
  <si>
    <t>All TL voltages</t>
  </si>
  <si>
    <t>Fiber optic communication overlay on transmission lines</t>
  </si>
  <si>
    <t>OPGW on new TLs</t>
  </si>
  <si>
    <t>Total OPGW: 1,528.51 km (2024); ADSS: 5,406.75 km; expanding with new TL projects</t>
  </si>
  <si>
    <t>Ongoing</t>
  </si>
  <si>
    <t>ℹ️  Source: Bhutan Power System Master Plan 2040 | Source: National Transmission Grid Master Plan 2018 | Source: Bhutan Power Corporation Limited – Power Data Book 2024 (BPC PDB 2024)</t>
  </si>
  <si>
    <t>BHUTAN — Planned &amp; Under-Construction Generation Projects</t>
  </si>
  <si>
    <t>Source: Bhutan Power System Master Plan 2040 | Source: Bhutan Power Corporation Limited – Power Data Book 2024 (BPC PDB 2024)</t>
  </si>
  <si>
    <t>Project / Plant</t>
  </si>
  <si>
    <t>Zone / Location</t>
  </si>
  <si>
    <t>Developer</t>
  </si>
  <si>
    <t>Notes / Source</t>
  </si>
  <si>
    <t>Punatsangchhu-II HP (PHP-II) — Full Commissioning</t>
  </si>
  <si>
    <t>West (Wangdue Phodrang)</t>
  </si>
  <si>
    <t>Run-of-River (storage-like)</t>
  </si>
  <si>
    <t>DGPC / PHPA-II</t>
  </si>
  <si>
    <t>Partially Operational – Ramp Up</t>
  </si>
  <si>
    <t>2025 (full)</t>
  </si>
  <si>
    <t>6×170 MW; commenced 2024 with 12.23 MU; full commissioning ongoing; export to Alipurduar</t>
  </si>
  <si>
    <t>Kholongchhu Hydropower Project</t>
  </si>
  <si>
    <t>East (Trashiyangtse)</t>
  </si>
  <si>
    <t>DGPC / Kholongchhu Hydro Energy Ltd. (JV with Satluj Jal Vidyut Nigam)</t>
  </si>
  <si>
    <t>2027</t>
  </si>
  <si>
    <t>JV project with SJVNL (India); 4×150 MW; Trashi Yangtse district</t>
  </si>
  <si>
    <t>Bunakha Reservoir Hydropower Project</t>
  </si>
  <si>
    <t>West (Thimphu/Paro area)</t>
  </si>
  <si>
    <t>Reservoir / Storage</t>
  </si>
  <si>
    <t>DGPC / Government of Bhutan</t>
  </si>
  <si>
    <t>Feasibility / Planning</t>
  </si>
  <si>
    <t>4×600 MW; reservoir project providing storage capability; one of Bhutan's largest planned projects; requires major dam construction</t>
  </si>
  <si>
    <t>Chamkharchhu I Hydropower Project</t>
  </si>
  <si>
    <t>Central (Bumthang/Zhemgang)</t>
  </si>
  <si>
    <t>DGPC / Chamkharchhu Hydropower Ltd.</t>
  </si>
  <si>
    <t>Pre-Construction / DPR</t>
  </si>
  <si>
    <t>2028-2030</t>
  </si>
  <si>
    <t>Chamkharchhu river; ~670 MW capacity; evacuation planning ongoing</t>
  </si>
  <si>
    <t>Dorjilung Hydropower Project</t>
  </si>
  <si>
    <t>South (Samdrup Jongkhar)</t>
  </si>
  <si>
    <t>DGPC / JV (India partner TBD)</t>
  </si>
  <si>
    <t>Feasibility Complete</t>
  </si>
  <si>
    <t>3×375 MW; India–Bhutan JV; Arunachal Pradesh border area</t>
  </si>
  <si>
    <t>Nikachhu HP — Full Output Stabilization</t>
  </si>
  <si>
    <t>Central (Trongsa)</t>
  </si>
  <si>
    <t>DGPC</t>
  </si>
  <si>
    <t>Operational (stabilizing)</t>
  </si>
  <si>
    <t>2×59 MW; commenced 2024; 513 MU generated; full stabilized output expected 2025</t>
  </si>
  <si>
    <t>Gelephu Solar Power Plant</t>
  </si>
  <si>
    <t>South (Gelephu GMC)</t>
  </si>
  <si>
    <t>TBD (target 200-500)</t>
  </si>
  <si>
    <t>Solar PV (utility-scale)</t>
  </si>
  <si>
    <t>TBD / Private IPP</t>
  </si>
  <si>
    <t>Planning</t>
  </si>
  <si>
    <t>Part of Gelephu Mindfulness City energy mix; may include storage; first large-scale solar beyond DSP</t>
  </si>
  <si>
    <t>DSP Solar Expansion</t>
  </si>
  <si>
    <t>Central (Dungsam area)</t>
  </si>
  <si>
    <t>2026+</t>
  </si>
  <si>
    <t>Expansion of existing DSP Solar; 3.23 MU purchased in 2024 by BPC; tariff Nu. 3.64/kWh</t>
  </si>
  <si>
    <t>Rooftop Solar Program (National)</t>
  </si>
  <si>
    <t>Target: 50 MW by 2030</t>
  </si>
  <si>
    <t>Rooftop Solar PV</t>
  </si>
  <si>
    <t>Private / Households / BPC</t>
  </si>
  <si>
    <t>Rolling / Ongoing</t>
  </si>
  <si>
    <t>2030 target</t>
  </si>
  <si>
    <t>Policy-driven; embedded generation integrated into BPC grid; 2024: 3.23 MU purchased under solar tariff</t>
  </si>
  <si>
    <t>Mini/Micro Hydel Expansion</t>
  </si>
  <si>
    <t>~10-20 MW additional</t>
  </si>
  <si>
    <t>Local Communities / BPC</t>
  </si>
  <si>
    <t>Rolling</t>
  </si>
  <si>
    <t>Replace isolated diesel; 16.90 MU generated in 2024; further expansion in remote Dzongkhags</t>
  </si>
  <si>
    <t>Shakti Hydropower Project (proposed)</t>
  </si>
  <si>
    <t>West Bhutan</t>
  </si>
  <si>
    <t>Government of Bhutan / India JV</t>
  </si>
  <si>
    <t>Feasibility</t>
  </si>
  <si>
    <t>Post 2035</t>
  </si>
  <si>
    <t>Very large storage project; subject to environmental studies; part of long-term Power System Master Plan</t>
  </si>
  <si>
    <t>Amochhu Reservoir Project</t>
  </si>
  <si>
    <t>West (Ha/Haa district)</t>
  </si>
  <si>
    <t>Reservoir</t>
  </si>
  <si>
    <t>Government of Bhutan</t>
  </si>
  <si>
    <t>Reservoir project; inter-seasonal storage to firm up run-of-river generation</t>
  </si>
  <si>
    <t>TOTAL PLANNED CAPACITY (identifiable projects):</t>
  </si>
  <si>
    <t>~9,150+ MW</t>
  </si>
  <si>
    <t>ℹ️  Source: Bhutan Power System Master Plan 2040 | Source: Bhutan Power Corporation Limited – Power Data Book 2024 (BPC PDB 2024) | Bhutan targets to develop remaining ~10,000 MW hydropower potential for export</t>
  </si>
  <si>
    <t>BHUTAN — Additional Power Sector Data</t>
  </si>
  <si>
    <t>Source: Bhutan Power Corporation Limited – Power Data Book 2024 (BPC PDB 2024) | Source: Bhutan Power System Master Plan 2040</t>
  </si>
  <si>
    <t>A. ELECTRICITY TARIFFS (BPC to Customers) — Effective 1 Sep 2022 to 30 Jun 2025</t>
  </si>
  <si>
    <t>Category</t>
  </si>
  <si>
    <t>Tariff Structure</t>
  </si>
  <si>
    <t>Rate (Nu./kWh or kVA/Month)</t>
  </si>
  <si>
    <t>Previous Rate (Jul 2021–Aug 2022)</t>
  </si>
  <si>
    <t>LV Block I – Rural (0-100 kWh)</t>
  </si>
  <si>
    <t>Free first 100 kWh</t>
  </si>
  <si>
    <t>Nu. 0.00 /kWh</t>
  </si>
  <si>
    <t>Subsidized; rural households</t>
  </si>
  <si>
    <t>BPC PDB 2024, Table 6.1</t>
  </si>
  <si>
    <t>LV Block I – Highlanders (0-200 kWh)</t>
  </si>
  <si>
    <t>Free first 200 kWh</t>
  </si>
  <si>
    <t>Higher subsidy for highland communities</t>
  </si>
  <si>
    <t>LV Block I – Others (0-100 kWh)</t>
  </si>
  <si>
    <t>Energy charge</t>
  </si>
  <si>
    <t>Nu. 1.28 /kWh</t>
  </si>
  <si>
    <t>Urban/commercial first block</t>
  </si>
  <si>
    <t>LV Block II – All (101-500 kWh)</t>
  </si>
  <si>
    <t>Nu. 2.66 /kWh</t>
  </si>
  <si>
    <t>Nu. 2.68 /kWh</t>
  </si>
  <si>
    <t>Mid-tier consumption</t>
  </si>
  <si>
    <t>LV Block III – All (&gt;500 kWh)</t>
  </si>
  <si>
    <t>Nu. 3.64 /kWh</t>
  </si>
  <si>
    <t>Tariff rationalization in 2022</t>
  </si>
  <si>
    <t>LV Bulk Supply</t>
  </si>
  <si>
    <t>Nu. 4.14 /kWh</t>
  </si>
  <si>
    <t>Bulk LV consumers</t>
  </si>
  <si>
    <t>Medium Voltage (MV)</t>
  </si>
  <si>
    <t>Energy + Demand</t>
  </si>
  <si>
    <t>Energy: Nu. 1.60/kWh + Demand: Nu. 496/kVA/Month</t>
  </si>
  <si>
    <t>Energy: Nu. 2.65/kWh + Nu. 325/kVA</t>
  </si>
  <si>
    <t>Revised demand charges 2022</t>
  </si>
  <si>
    <t>High Voltage (HV)</t>
  </si>
  <si>
    <t>Energy: Nu. 1.60/kWh + Demand: Nu. 170/kVA/Month</t>
  </si>
  <si>
    <t>Energy: Nu. 1.50/kWh + Nu. 292/kVA</t>
  </si>
  <si>
    <t>Major industrial/export consumers</t>
  </si>
  <si>
    <t>Average Tariff – HV</t>
  </si>
  <si>
    <t>Average realized</t>
  </si>
  <si>
    <t>Nu. 2.26 /kWh</t>
  </si>
  <si>
    <t>BPC PDB 2024, Table 6.2</t>
  </si>
  <si>
    <t>Average Tariff – MV</t>
  </si>
  <si>
    <t>Nu. 5.15 /kWh</t>
  </si>
  <si>
    <t>Large reduction post-2022 revision</t>
  </si>
  <si>
    <t>Average Tariff – LV</t>
  </si>
  <si>
    <t>Nu. 5.06 /kWh</t>
  </si>
  <si>
    <t>Wheeling Charge</t>
  </si>
  <si>
    <t>Per unit wheeled</t>
  </si>
  <si>
    <t>Nu. 0.23 /kWh</t>
  </si>
  <si>
    <t>Nu. 0.27 /kWh</t>
  </si>
  <si>
    <t>For export energy wheeled by BPC</t>
  </si>
  <si>
    <t>BPC PDB 2024, Table 6.3</t>
  </si>
  <si>
    <t>B. ELECTRICITY TARIFF LEVIED BY GENERATING COMPANIES TO BPC (Nu./kWh)</t>
  </si>
  <si>
    <t>Domestic Tariff (Jul 2021 – Aug 2022)</t>
  </si>
  <si>
    <t>Domestic Tariff (Sep 2022 – Jun 2025)</t>
  </si>
  <si>
    <t>Export Tariff (Jul 2024 – Jun 2025)</t>
  </si>
  <si>
    <t>Nu. 3.00 /kWh</t>
  </si>
  <si>
    <t>Nu. 1.42 /kWh</t>
  </si>
  <si>
    <t>Nu. 1.34 /kWh</t>
  </si>
  <si>
    <t>336 MW</t>
  </si>
  <si>
    <t>BPC PDB 2024, Table 6.4</t>
  </si>
  <si>
    <t>Basochhu HP</t>
  </si>
  <si>
    <t>64 MW</t>
  </si>
  <si>
    <t>Kurichhu HP</t>
  </si>
  <si>
    <t>Nu. 2.23 /kWh</t>
  </si>
  <si>
    <t>60 MW</t>
  </si>
  <si>
    <t>Tala HP</t>
  </si>
  <si>
    <t>1,020 MW</t>
  </si>
  <si>
    <t>Dagachhu HP</t>
  </si>
  <si>
    <t>Nu. 3.40 /kWh</t>
  </si>
  <si>
    <t>252 MW</t>
  </si>
  <si>
    <t>Nu. 4.12 /kWh</t>
  </si>
  <si>
    <t>Nu. 3.77 /kWh</t>
  </si>
  <si>
    <t>720 MW</t>
  </si>
  <si>
    <t>PHP-II</t>
  </si>
  <si>
    <t>N/A</t>
  </si>
  <si>
    <t>Nu. 4.60 /kWh</t>
  </si>
  <si>
    <t>DSP Solar</t>
  </si>
  <si>
    <t>Small</t>
  </si>
  <si>
    <t>C. BPC FINANCIAL PERFORMANCE (Million Nu.) — 2020 to 2024</t>
  </si>
  <si>
    <t>Revenue from Electricity Sales (Nu. M)</t>
  </si>
  <si>
    <t>Revenue from Wheeling (Nu. M)</t>
  </si>
  <si>
    <t>Revenue from Construction Contracts (Nu. M)</t>
  </si>
  <si>
    <t>Revenue from Others (Nu. M)</t>
  </si>
  <si>
    <t>Power Purchase Cost from GENCOs (Nu. M)</t>
  </si>
  <si>
    <t>Total Fixed Assets (Nu. M)</t>
  </si>
  <si>
    <t>Net Fixed Assets (Nu. M)</t>
  </si>
  <si>
    <t>Return on Equity (%)</t>
  </si>
  <si>
    <t>3.80%</t>
  </si>
  <si>
    <t>7.46%</t>
  </si>
  <si>
    <t>5.27%</t>
  </si>
  <si>
    <t>7.11%</t>
  </si>
  <si>
    <t>10.41%</t>
  </si>
  <si>
    <t>Return on Assets (%)</t>
  </si>
  <si>
    <t>1.99%</t>
  </si>
  <si>
    <t>3.92%</t>
  </si>
  <si>
    <t>2.66%</t>
  </si>
  <si>
    <t>3.29%</t>
  </si>
  <si>
    <t>4.69%</t>
  </si>
  <si>
    <t>Debt-to-Equity Ratio (%)</t>
  </si>
  <si>
    <t>93.80%</t>
  </si>
  <si>
    <t>88.88%</t>
  </si>
  <si>
    <t>112.45%</t>
  </si>
  <si>
    <t>116.64%</t>
  </si>
  <si>
    <t>127.80%</t>
  </si>
  <si>
    <t>Interest Coverage Ratio</t>
  </si>
  <si>
    <t>Customers per Employee</t>
  </si>
  <si>
    <t>Energy Sales (MU) per Employee</t>
  </si>
  <si>
    <t>D. RELIABILITY INDICES (BPC System-Wide) — 2023 vs 2024</t>
  </si>
  <si>
    <t>Index</t>
  </si>
  <si>
    <t>Full Name</t>
  </si>
  <si>
    <t>2023 Total</t>
  </si>
  <si>
    <t>2024 Total</t>
  </si>
  <si>
    <t>2024 Monthly Avg</t>
  </si>
  <si>
    <t>SAIFI</t>
  </si>
  <si>
    <t>System Average Interruption Frequency Index (interruptions/customer/year)</t>
  </si>
  <si>
    <t>Lower is better; improved from 2023</t>
  </si>
  <si>
    <t>SAIDI</t>
  </si>
  <si>
    <t>System Average Interruption Duration Index (hours/customer/year)</t>
  </si>
  <si>
    <t>Increased in 2024; summer storms impact</t>
  </si>
  <si>
    <t>MAIFI</t>
  </si>
  <si>
    <t>Momentary Average Interruption Frequency Index (momentary events/year)</t>
  </si>
  <si>
    <t>Roughly stable</t>
  </si>
  <si>
    <t>E. DZONGKHAG-WISE ENERGY TRANSFERRED (MU) — 2024 (Selected)</t>
  </si>
  <si>
    <t>Dzongkhag</t>
  </si>
  <si>
    <t>Energy (MU) 2024</t>
  </si>
  <si>
    <t>Customers (2024)</t>
  </si>
  <si>
    <t>Total Losses (%)</t>
  </si>
  <si>
    <t>Thimphu</t>
  </si>
  <si>
    <t>0.95%</t>
  </si>
  <si>
    <t>Largest dzongkhag; 23.30% of customers</t>
  </si>
  <si>
    <t>Chhukha</t>
  </si>
  <si>
    <t>1.34%</t>
  </si>
  <si>
    <t>Major industrial/HV consumers; Pasakha</t>
  </si>
  <si>
    <t>Sarpang</t>
  </si>
  <si>
    <t>10.10%</t>
  </si>
  <si>
    <t>Samtse</t>
  </si>
  <si>
    <t>2.28%</t>
  </si>
  <si>
    <t>WBSEB emergency import possible</t>
  </si>
  <si>
    <t>Paro</t>
  </si>
  <si>
    <t>9.62%</t>
  </si>
  <si>
    <t>Airport; tourism hub</t>
  </si>
  <si>
    <t>Samdrup Jongkhar</t>
  </si>
  <si>
    <t>1.17%</t>
  </si>
  <si>
    <t>ASEB import possible; border town</t>
  </si>
  <si>
    <t>Punakha</t>
  </si>
  <si>
    <t>0.56%</t>
  </si>
  <si>
    <t>Hydropower nearby; low losses</t>
  </si>
  <si>
    <t>Mongar</t>
  </si>
  <si>
    <t>Eastern hub</t>
  </si>
  <si>
    <t>Tsirang</t>
  </si>
  <si>
    <t>5.19%</t>
  </si>
  <si>
    <t>Trashigang</t>
  </si>
  <si>
    <t>12.52%</t>
  </si>
  <si>
    <t>Remote; highest mini-hydro dependency</t>
  </si>
  <si>
    <t>Dagana</t>
  </si>
  <si>
    <t>0.80%</t>
  </si>
  <si>
    <t>Major growth due to HV industry (2022+)</t>
  </si>
  <si>
    <t>Trongsa</t>
  </si>
  <si>
    <t>0.21%</t>
  </si>
  <si>
    <t>PHP-II &amp; Mangdechhu transit zone</t>
  </si>
  <si>
    <t>Bumthang</t>
  </si>
  <si>
    <t>11.66%</t>
  </si>
  <si>
    <t>High losses; remote terrain</t>
  </si>
  <si>
    <t>Wangdue Phodrang</t>
  </si>
  <si>
    <t>6.54%</t>
  </si>
  <si>
    <t>Punatsangchhu HP base</t>
  </si>
  <si>
    <t>Haa</t>
  </si>
  <si>
    <t>10.94%</t>
  </si>
  <si>
    <t>Remote; border district</t>
  </si>
  <si>
    <t>Lhuntse</t>
  </si>
  <si>
    <t>15.28%</t>
  </si>
  <si>
    <t>Highest loss dzongkhag 2024</t>
  </si>
  <si>
    <t>Pemagatsel</t>
  </si>
  <si>
    <t>1.86%</t>
  </si>
  <si>
    <t>Zhemgang</t>
  </si>
  <si>
    <t>11.62%</t>
  </si>
  <si>
    <t>Remote; low density</t>
  </si>
  <si>
    <t>Trashi Yangtse</t>
  </si>
  <si>
    <t>11.52%</t>
  </si>
  <si>
    <t>Remote; eastern</t>
  </si>
  <si>
    <t>F. RURAL ELECTRIFICATION COVERAGE — 2020 to 2024</t>
  </si>
  <si>
    <t>Total Electrified Households</t>
  </si>
  <si>
    <t>RE Coverage (excl. off-grid works)</t>
  </si>
  <si>
    <t>100.00%</t>
  </si>
  <si>
    <t>RE Coverage (incl. off-grid works)</t>
  </si>
  <si>
    <t>99.09%</t>
  </si>
  <si>
    <t>99.87%</t>
  </si>
  <si>
    <t>99.97%</t>
  </si>
  <si>
    <t>Off-grid connections migrated to grid</t>
  </si>
  <si>
    <t>100%</t>
  </si>
  <si>
    <t>G. BPC EMPLOYEE STATISTICS — 2024</t>
  </si>
  <si>
    <t>Subcategory</t>
  </si>
  <si>
    <t>Count</t>
  </si>
  <si>
    <t>Percentage</t>
  </si>
  <si>
    <t>Employment Type</t>
  </si>
  <si>
    <t>Regular</t>
  </si>
  <si>
    <t>99%</t>
  </si>
  <si>
    <t>BPC PDB 2024, Table 9.1</t>
  </si>
  <si>
    <t>Contract</t>
  </si>
  <si>
    <t>1%</t>
  </si>
  <si>
    <t>Gender</t>
  </si>
  <si>
    <t>Male</t>
  </si>
  <si>
    <t>81%</t>
  </si>
  <si>
    <t>Female</t>
  </si>
  <si>
    <t>19%</t>
  </si>
  <si>
    <t>Age Group</t>
  </si>
  <si>
    <t>50+ years</t>
  </si>
  <si>
    <t>17%</t>
  </si>
  <si>
    <t>40-49 years</t>
  </si>
  <si>
    <t>33%</t>
  </si>
  <si>
    <t>30-39 years</t>
  </si>
  <si>
    <t>36%</t>
  </si>
  <si>
    <t>Largest cohort</t>
  </si>
  <si>
    <t>18-29 years</t>
  </si>
  <si>
    <t>14%</t>
  </si>
  <si>
    <t>Qualification</t>
  </si>
  <si>
    <t>Masters Degree</t>
  </si>
  <si>
    <t>3%</t>
  </si>
  <si>
    <t>Bachelors Degree</t>
  </si>
  <si>
    <t>8%</t>
  </si>
  <si>
    <t>Diploma</t>
  </si>
  <si>
    <t>11%</t>
  </si>
  <si>
    <t>Certificate/Others</t>
  </si>
  <si>
    <t>78%</t>
  </si>
  <si>
    <t>Total Employees</t>
  </si>
  <si>
    <t>2021 had highest count (2,415)</t>
  </si>
  <si>
    <t>H. FIBER OPTIC NETWORK (BPC Communication Infrastructure) — December 2024</t>
  </si>
  <si>
    <t>Network Type</t>
  </si>
  <si>
    <t>Coverage (km)</t>
  </si>
  <si>
    <t>Coverage / Notes</t>
  </si>
  <si>
    <t>Voltage Association</t>
  </si>
  <si>
    <t>Purpose</t>
  </si>
  <si>
    <t>OPGW (Optical Ground Wire)</t>
  </si>
  <si>
    <t>1,528.51 km</t>
  </si>
  <si>
    <t>On transmission lines; 400kV/220kV/132kV/66kV</t>
  </si>
  <si>
    <t>HV Transmission Lines</t>
  </si>
  <si>
    <t>Primary fiber backbone; terminates at HV substations near Dzongkhag HQs</t>
  </si>
  <si>
    <t>BPC PDB 2024, Table 7.1</t>
  </si>
  <si>
    <t>ADSS (All Dielectric Self Supporting)</t>
  </si>
  <si>
    <t>5,406.75 km</t>
  </si>
  <si>
    <t>On distribution poles; reaches all 19 Dzongkhags + Gewogs</t>
  </si>
  <si>
    <t>MV/LV Distribution Network</t>
  </si>
  <si>
    <t>Last-mile connectivity to Dzongkhag HQs, Gewog Centers, government offices, BHUs</t>
  </si>
  <si>
    <t>BPC PDB 2024, Table 7.2</t>
  </si>
  <si>
    <t>Total Fiber Network</t>
  </si>
  <si>
    <t>6,935.26 km</t>
  </si>
  <si>
    <t>Combined OPGW + ADSS</t>
  </si>
  <si>
    <t>All voltage levels</t>
  </si>
  <si>
    <t>National broadband backbone (BPC contributes to Bhutan ICT Broadband Master Plan)</t>
  </si>
  <si>
    <t>BPC PDB 2024, Ch. 7</t>
  </si>
  <si>
    <t>ℹ️  All data: Source: Bhutan Power Corporation Limited – Power Data Book 2024 (BPC PDB 2024) unless otherwise noted. Exchange rate reference: 1 USD ≈ 84 Nu. (Bhutanese Ngultrum, pegged to Indian Rupee)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</si>
</sst>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+0.0%;\-0.0%;\-"/>
  </numFmts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8"/>
      <color rgb="FF555555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0"/>
      <color rgb="FFFFFFFF"/>
      <name val="Arial"/>
    </font>
    <font>
      <b/>
      <sz val="9"/>
      <color rgb="FF000000"/>
      <name val="Arial"/>
    </font>
  </fonts>
  <fills count="19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F2F3F4"/>
      </patternFill>
    </fill>
    <fill>
      <patternFill patternType="solid">
        <fgColor rgb="FFD5F5E3"/>
      </patternFill>
    </fill>
    <fill>
      <patternFill patternType="solid">
        <fgColor rgb="FFFFFFFF"/>
      </patternFill>
    </fill>
    <fill>
      <patternFill patternType="solid">
        <fgColor rgb="FF1E8449"/>
      </patternFill>
    </fill>
    <fill>
      <patternFill patternType="solid">
        <fgColor rgb="FFF9E79F"/>
      </patternFill>
    </fill>
    <fill>
      <patternFill patternType="solid">
        <fgColor rgb="FFD0ECE7"/>
      </patternFill>
    </fill>
    <fill>
      <patternFill patternType="solid">
        <fgColor rgb="FFD6EAF8"/>
      </patternFill>
    </fill>
    <fill>
      <patternFill patternType="solid">
        <fgColor rgb="FFFADBD8"/>
      </patternFill>
    </fill>
    <fill>
      <patternFill patternType="solid">
        <fgColor rgb="FF154360"/>
      </patternFill>
    </fill>
    <fill>
      <patternFill patternType="solid">
        <fgColor rgb="FF4A235A"/>
      </patternFill>
    </fill>
    <fill>
      <patternFill patternType="solid">
        <fgColor rgb="FFE8DAEF"/>
      </patternFill>
    </fill>
    <fill>
      <patternFill patternType="solid">
        <fgColor rgb="FF0E6655"/>
      </patternFill>
    </fill>
    <fill>
      <patternFill patternType="solid">
        <fgColor rgb="FF4E342E"/>
      </patternFill>
    </fill>
    <fill>
      <patternFill patternType="solid">
        <fgColor rgb="FFEFEBE9"/>
      </patternFill>
    </fill>
    <fill>
      <patternFill patternType="solid">
        <fgColor rgb="FF7B241C"/>
      </patternFill>
    </fill>
    <fill>
      <patternFill patternType="solid">
        <fgColor rgb="FF2C3E5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righ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righ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right" vertical="center" wrapText="1"/>
    </xf>
    <xf numFmtId="0" fontId="4" fillId="9" borderId="1" xfId="0" applyFont="1" applyFill="1" applyBorder="1" applyAlignment="1">
      <alignment horizontal="lef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  <xf numFmtId="165" fontId="4" fillId="9" borderId="1" xfId="0" applyNumberFormat="1" applyFont="1" applyFill="1" applyBorder="1" applyAlignment="1">
      <alignment horizontal="righ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righ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0" fillId="0" borderId="0" xfId="0"/>
    <xf numFmtId="0" fontId="5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1" fillId="11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5" fillId="14" borderId="1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1" fillId="1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5276"/>
  </sheetPr>
  <dimension ref="A1:J16"/>
  <sheetViews>
    <sheetView workbookViewId="0">
      <pane ySplit="3" topLeftCell="A7" activePane="bottomLeft" state="frozen"/>
      <selection pane="bottomLeft" activeCell="A14" sqref="A4:A14"/>
    </sheetView>
  </sheetViews>
  <sheetFormatPr baseColWidth="10" defaultColWidth="8.88671875" defaultRowHeight="14.4" x14ac:dyDescent="0.3"/>
  <cols>
    <col min="1" max="1" width="35" customWidth="1"/>
    <col min="2" max="2" width="14" customWidth="1"/>
    <col min="3" max="3" width="10" customWidth="1"/>
    <col min="4" max="4" width="12" customWidth="1"/>
    <col min="5" max="5" width="38" customWidth="1"/>
    <col min="6" max="7" width="12" customWidth="1"/>
    <col min="8" max="8" width="18" customWidth="1"/>
    <col min="9" max="9" width="14" customWidth="1"/>
    <col min="10" max="10" width="55" customWidth="1"/>
  </cols>
  <sheetData>
    <row r="1" spans="1:10" ht="30" customHeight="1" x14ac:dyDescent="0.3">
      <c r="A1" s="42" t="s">
        <v>0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19.95" customHeight="1" x14ac:dyDescent="0.3">
      <c r="A2" s="40" t="s">
        <v>1</v>
      </c>
      <c r="B2" s="36"/>
      <c r="C2" s="36"/>
      <c r="D2" s="36"/>
      <c r="E2" s="36"/>
      <c r="F2" s="36"/>
      <c r="G2" s="36"/>
      <c r="H2" s="36"/>
      <c r="I2" s="36"/>
      <c r="J2" s="36"/>
    </row>
    <row r="3" spans="1:10" ht="40.049999999999997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34.950000000000003" customHeight="1" x14ac:dyDescent="0.3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3">
        <v>1020</v>
      </c>
      <c r="G4" s="3">
        <v>1020</v>
      </c>
      <c r="H4" s="2" t="s">
        <v>17</v>
      </c>
      <c r="I4" s="2" t="s">
        <v>18</v>
      </c>
      <c r="J4" s="2" t="s">
        <v>19</v>
      </c>
    </row>
    <row r="5" spans="1:10" ht="34.950000000000003" customHeight="1" x14ac:dyDescent="0.3">
      <c r="A5" s="4" t="s">
        <v>20</v>
      </c>
      <c r="B5" s="4" t="s">
        <v>21</v>
      </c>
      <c r="C5" s="4" t="s">
        <v>14</v>
      </c>
      <c r="D5" s="4" t="s">
        <v>15</v>
      </c>
      <c r="E5" s="4" t="s">
        <v>22</v>
      </c>
      <c r="F5" s="5">
        <v>720</v>
      </c>
      <c r="G5" s="5">
        <v>720</v>
      </c>
      <c r="H5" s="4" t="s">
        <v>17</v>
      </c>
      <c r="I5" s="4" t="s">
        <v>18</v>
      </c>
      <c r="J5" s="4" t="s">
        <v>23</v>
      </c>
    </row>
    <row r="6" spans="1:10" ht="34.950000000000003" customHeight="1" x14ac:dyDescent="0.3">
      <c r="A6" s="2" t="s">
        <v>24</v>
      </c>
      <c r="B6" s="2" t="s">
        <v>13</v>
      </c>
      <c r="C6" s="2" t="s">
        <v>14</v>
      </c>
      <c r="D6" s="2" t="s">
        <v>15</v>
      </c>
      <c r="E6" s="2" t="s">
        <v>16</v>
      </c>
      <c r="F6" s="3">
        <v>336</v>
      </c>
      <c r="G6" s="3">
        <v>336</v>
      </c>
      <c r="H6" s="2" t="s">
        <v>17</v>
      </c>
      <c r="I6" s="2" t="s">
        <v>18</v>
      </c>
      <c r="J6" s="2" t="s">
        <v>25</v>
      </c>
    </row>
    <row r="7" spans="1:10" ht="34.950000000000003" customHeight="1" x14ac:dyDescent="0.3">
      <c r="A7" s="4" t="s">
        <v>26</v>
      </c>
      <c r="B7" s="4" t="s">
        <v>27</v>
      </c>
      <c r="C7" s="4" t="s">
        <v>14</v>
      </c>
      <c r="D7" s="4" t="s">
        <v>15</v>
      </c>
      <c r="E7" s="4" t="s">
        <v>16</v>
      </c>
      <c r="F7" s="5">
        <v>252</v>
      </c>
      <c r="G7" s="5">
        <v>252</v>
      </c>
      <c r="H7" s="4" t="s">
        <v>17</v>
      </c>
      <c r="I7" s="4" t="s">
        <v>18</v>
      </c>
      <c r="J7" s="4" t="s">
        <v>28</v>
      </c>
    </row>
    <row r="8" spans="1:10" ht="34.950000000000003" customHeight="1" x14ac:dyDescent="0.3">
      <c r="A8" s="2" t="s">
        <v>29</v>
      </c>
      <c r="B8" s="2" t="s">
        <v>21</v>
      </c>
      <c r="C8" s="2" t="s">
        <v>14</v>
      </c>
      <c r="D8" s="2" t="s">
        <v>15</v>
      </c>
      <c r="E8" s="2" t="s">
        <v>16</v>
      </c>
      <c r="F8" s="3">
        <v>118</v>
      </c>
      <c r="G8" s="3">
        <v>118</v>
      </c>
      <c r="H8" s="2" t="s">
        <v>17</v>
      </c>
      <c r="I8" s="2" t="s">
        <v>18</v>
      </c>
      <c r="J8" s="2" t="s">
        <v>30</v>
      </c>
    </row>
    <row r="9" spans="1:10" ht="34.950000000000003" customHeight="1" x14ac:dyDescent="0.3">
      <c r="A9" s="4" t="s">
        <v>31</v>
      </c>
      <c r="B9" s="4" t="s">
        <v>32</v>
      </c>
      <c r="C9" s="4" t="s">
        <v>14</v>
      </c>
      <c r="D9" s="4" t="s">
        <v>15</v>
      </c>
      <c r="E9" s="4" t="s">
        <v>16</v>
      </c>
      <c r="F9" s="5">
        <v>60</v>
      </c>
      <c r="G9" s="5">
        <v>60</v>
      </c>
      <c r="H9" s="4" t="s">
        <v>17</v>
      </c>
      <c r="I9" s="4" t="s">
        <v>18</v>
      </c>
      <c r="J9" s="4" t="s">
        <v>33</v>
      </c>
    </row>
    <row r="10" spans="1:10" ht="34.950000000000003" customHeight="1" x14ac:dyDescent="0.3">
      <c r="A10" s="2" t="s">
        <v>34</v>
      </c>
      <c r="B10" s="2" t="s">
        <v>13</v>
      </c>
      <c r="C10" s="2" t="s">
        <v>14</v>
      </c>
      <c r="D10" s="2" t="s">
        <v>15</v>
      </c>
      <c r="E10" s="2" t="s">
        <v>16</v>
      </c>
      <c r="F10" s="3">
        <v>64</v>
      </c>
      <c r="G10" s="3">
        <v>64</v>
      </c>
      <c r="H10" s="2" t="s">
        <v>17</v>
      </c>
      <c r="I10" s="2" t="s">
        <v>18</v>
      </c>
      <c r="J10" s="2" t="s">
        <v>35</v>
      </c>
    </row>
    <row r="11" spans="1:10" ht="34.950000000000003" customHeight="1" x14ac:dyDescent="0.3">
      <c r="A11" s="4" t="s">
        <v>36</v>
      </c>
      <c r="B11" s="4" t="s">
        <v>13</v>
      </c>
      <c r="C11" s="4" t="s">
        <v>14</v>
      </c>
      <c r="D11" s="4" t="s">
        <v>15</v>
      </c>
      <c r="E11" s="4" t="s">
        <v>16</v>
      </c>
      <c r="F11" s="5">
        <v>1020</v>
      </c>
      <c r="G11" s="5">
        <v>1020</v>
      </c>
      <c r="H11" s="4" t="s">
        <v>17</v>
      </c>
      <c r="I11" s="4" t="s">
        <v>37</v>
      </c>
      <c r="J11" s="4" t="s">
        <v>38</v>
      </c>
    </row>
    <row r="12" spans="1:10" ht="34.950000000000003" customHeight="1" x14ac:dyDescent="0.3">
      <c r="A12" s="2" t="s">
        <v>39</v>
      </c>
      <c r="B12" s="2" t="s">
        <v>40</v>
      </c>
      <c r="C12" s="2" t="s">
        <v>14</v>
      </c>
      <c r="D12" s="2" t="s">
        <v>41</v>
      </c>
      <c r="E12" s="2" t="s">
        <v>42</v>
      </c>
      <c r="F12" s="3" t="s">
        <v>43</v>
      </c>
      <c r="G12" s="3" t="s">
        <v>43</v>
      </c>
      <c r="H12" s="2" t="s">
        <v>44</v>
      </c>
      <c r="I12" s="2" t="s">
        <v>18</v>
      </c>
      <c r="J12" s="2" t="s">
        <v>45</v>
      </c>
    </row>
    <row r="13" spans="1:10" ht="34.950000000000003" customHeight="1" x14ac:dyDescent="0.3">
      <c r="A13" s="4" t="s">
        <v>46</v>
      </c>
      <c r="B13" s="4" t="s">
        <v>21</v>
      </c>
      <c r="C13" s="4" t="s">
        <v>47</v>
      </c>
      <c r="D13" s="4" t="s">
        <v>15</v>
      </c>
      <c r="E13" s="4" t="s">
        <v>16</v>
      </c>
      <c r="F13" s="5" t="s">
        <v>43</v>
      </c>
      <c r="G13" s="5" t="s">
        <v>43</v>
      </c>
      <c r="H13" s="4" t="s">
        <v>48</v>
      </c>
      <c r="I13" s="4" t="s">
        <v>18</v>
      </c>
      <c r="J13" s="4" t="s">
        <v>49</v>
      </c>
    </row>
    <row r="14" spans="1:10" ht="34.950000000000003" customHeight="1" x14ac:dyDescent="0.3">
      <c r="A14" s="2" t="s">
        <v>50</v>
      </c>
      <c r="B14" s="2" t="s">
        <v>40</v>
      </c>
      <c r="C14" s="2" t="s">
        <v>51</v>
      </c>
      <c r="D14" s="2" t="s">
        <v>15</v>
      </c>
      <c r="E14" s="2" t="s">
        <v>42</v>
      </c>
      <c r="F14" s="3" t="s">
        <v>43</v>
      </c>
      <c r="G14" s="3" t="s">
        <v>43</v>
      </c>
      <c r="H14" s="2" t="s">
        <v>52</v>
      </c>
      <c r="I14" s="2" t="s">
        <v>53</v>
      </c>
      <c r="J14" s="2" t="s">
        <v>54</v>
      </c>
    </row>
    <row r="16" spans="1:10" ht="25.05" customHeight="1" x14ac:dyDescent="0.3">
      <c r="A16" s="41" t="s">
        <v>55</v>
      </c>
      <c r="B16" s="36"/>
      <c r="C16" s="36"/>
      <c r="D16" s="36"/>
      <c r="E16" s="36"/>
      <c r="F16" s="36"/>
      <c r="G16" s="36"/>
      <c r="H16" s="36"/>
      <c r="I16" s="36"/>
      <c r="J16" s="36"/>
    </row>
  </sheetData>
  <mergeCells count="3">
    <mergeCell ref="A16:J16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8449"/>
  </sheetPr>
  <dimension ref="A1:G39"/>
  <sheetViews>
    <sheetView workbookViewId="0">
      <pane ySplit="4" topLeftCell="A5" activePane="bottomLeft" state="frozen"/>
      <selection pane="bottomLeft" activeCell="K8" sqref="K8"/>
    </sheetView>
  </sheetViews>
  <sheetFormatPr baseColWidth="10" defaultColWidth="8.88671875" defaultRowHeight="14.4" x14ac:dyDescent="0.3"/>
  <cols>
    <col min="1" max="1" width="42" customWidth="1"/>
    <col min="2" max="5" width="12" customWidth="1"/>
    <col min="6" max="7" width="14" customWidth="1"/>
  </cols>
  <sheetData>
    <row r="1" spans="1:7" ht="30" customHeight="1" x14ac:dyDescent="0.3">
      <c r="A1" s="35" t="s">
        <v>56</v>
      </c>
      <c r="B1" s="36"/>
      <c r="C1" s="36"/>
      <c r="D1" s="36"/>
      <c r="E1" s="36"/>
      <c r="F1" s="36"/>
      <c r="G1" s="36"/>
    </row>
    <row r="2" spans="1:7" ht="19.95" customHeight="1" x14ac:dyDescent="0.3">
      <c r="A2" s="40" t="s">
        <v>1</v>
      </c>
      <c r="B2" s="36"/>
      <c r="C2" s="36"/>
      <c r="D2" s="36"/>
      <c r="E2" s="36"/>
      <c r="F2" s="36"/>
      <c r="G2" s="36"/>
    </row>
    <row r="3" spans="1:7" x14ac:dyDescent="0.3">
      <c r="A3" s="37" t="s">
        <v>57</v>
      </c>
      <c r="B3" s="38"/>
      <c r="C3" s="38"/>
      <c r="D3" s="38"/>
      <c r="E3" s="38"/>
      <c r="F3" s="38"/>
      <c r="G3" s="38"/>
    </row>
    <row r="4" spans="1:7" ht="34.950000000000003" customHeight="1" x14ac:dyDescent="0.3">
      <c r="A4" s="6" t="s">
        <v>58</v>
      </c>
      <c r="B4" s="6" t="s">
        <v>59</v>
      </c>
      <c r="C4" s="6" t="s">
        <v>60</v>
      </c>
      <c r="D4" s="6" t="s">
        <v>61</v>
      </c>
      <c r="E4" s="6" t="s">
        <v>62</v>
      </c>
      <c r="F4" s="6" t="s">
        <v>63</v>
      </c>
      <c r="G4" s="6" t="s">
        <v>11</v>
      </c>
    </row>
    <row r="5" spans="1:7" ht="22.05" customHeight="1" x14ac:dyDescent="0.3">
      <c r="A5" s="2" t="s">
        <v>64</v>
      </c>
      <c r="B5" s="7">
        <v>391.59</v>
      </c>
      <c r="C5" s="7">
        <v>386.29</v>
      </c>
      <c r="D5" s="7">
        <v>407.92</v>
      </c>
      <c r="E5" s="7">
        <v>385.84</v>
      </c>
      <c r="F5" s="7">
        <v>393.33</v>
      </c>
      <c r="G5" s="2" t="s">
        <v>65</v>
      </c>
    </row>
    <row r="6" spans="1:7" ht="22.05" customHeight="1" x14ac:dyDescent="0.3">
      <c r="A6" s="4" t="s">
        <v>66</v>
      </c>
      <c r="B6" s="8">
        <v>5031.82</v>
      </c>
      <c r="C6" s="8">
        <v>4619.7700000000004</v>
      </c>
      <c r="D6" s="8">
        <v>4539.01</v>
      </c>
      <c r="E6" s="8">
        <v>4454.24</v>
      </c>
      <c r="F6" s="8">
        <v>4642.17</v>
      </c>
      <c r="G6" s="4" t="s">
        <v>67</v>
      </c>
    </row>
    <row r="7" spans="1:7" ht="22.05" customHeight="1" x14ac:dyDescent="0.3">
      <c r="A7" s="2" t="s">
        <v>68</v>
      </c>
      <c r="B7" s="7">
        <v>1858.07</v>
      </c>
      <c r="C7" s="7">
        <v>1966.31</v>
      </c>
      <c r="D7" s="7">
        <v>1915.92</v>
      </c>
      <c r="E7" s="7">
        <v>1775.37</v>
      </c>
      <c r="F7" s="7">
        <v>1770.94</v>
      </c>
      <c r="G7" s="2" t="s">
        <v>69</v>
      </c>
    </row>
    <row r="8" spans="1:7" ht="22.05" customHeight="1" x14ac:dyDescent="0.3">
      <c r="A8" s="4" t="s">
        <v>70</v>
      </c>
      <c r="B8" s="8">
        <v>348.56</v>
      </c>
      <c r="C8" s="8">
        <v>339.17</v>
      </c>
      <c r="D8" s="8">
        <v>354.59</v>
      </c>
      <c r="E8" s="8">
        <v>311.38</v>
      </c>
      <c r="F8" s="8">
        <v>303.10000000000002</v>
      </c>
      <c r="G8" s="4" t="s">
        <v>71</v>
      </c>
    </row>
    <row r="9" spans="1:7" ht="22.05" customHeight="1" x14ac:dyDescent="0.3">
      <c r="A9" s="2" t="s">
        <v>72</v>
      </c>
      <c r="B9" s="7">
        <v>3218.39</v>
      </c>
      <c r="C9" s="7">
        <v>2988.89</v>
      </c>
      <c r="D9" s="7">
        <v>3084.96</v>
      </c>
      <c r="E9" s="7">
        <v>3145.05</v>
      </c>
      <c r="F9" s="7">
        <v>3564.59</v>
      </c>
      <c r="G9" s="2" t="s">
        <v>73</v>
      </c>
    </row>
    <row r="10" spans="1:7" ht="22.05" customHeight="1" x14ac:dyDescent="0.3">
      <c r="A10" s="4" t="s">
        <v>74</v>
      </c>
      <c r="B10" s="8">
        <v>518.27</v>
      </c>
      <c r="C10" s="8">
        <v>499.87</v>
      </c>
      <c r="D10" s="8">
        <v>451.65</v>
      </c>
      <c r="E10" s="8">
        <v>444.14</v>
      </c>
      <c r="F10" s="8">
        <v>449.18</v>
      </c>
      <c r="G10" s="4" t="s">
        <v>75</v>
      </c>
    </row>
    <row r="11" spans="1:7" ht="22.05" customHeight="1" x14ac:dyDescent="0.3">
      <c r="A11" s="2" t="s">
        <v>76</v>
      </c>
      <c r="B11" s="7">
        <v>0</v>
      </c>
      <c r="C11" s="7">
        <v>0</v>
      </c>
      <c r="D11" s="7">
        <v>0</v>
      </c>
      <c r="E11" s="7">
        <v>0</v>
      </c>
      <c r="F11" s="7">
        <v>513.15</v>
      </c>
      <c r="G11" s="2" t="s">
        <v>77</v>
      </c>
    </row>
    <row r="12" spans="1:7" ht="22.05" customHeight="1" x14ac:dyDescent="0.3">
      <c r="A12" s="4" t="s">
        <v>78</v>
      </c>
      <c r="B12" s="8">
        <v>0</v>
      </c>
      <c r="C12" s="8">
        <v>0</v>
      </c>
      <c r="D12" s="8">
        <v>0</v>
      </c>
      <c r="E12" s="8">
        <v>0</v>
      </c>
      <c r="F12" s="8">
        <v>12.23</v>
      </c>
      <c r="G12" s="4" t="s">
        <v>79</v>
      </c>
    </row>
    <row r="13" spans="1:7" ht="22.05" customHeight="1" x14ac:dyDescent="0.3">
      <c r="A13" s="9" t="s">
        <v>80</v>
      </c>
      <c r="B13" s="10">
        <f>SUM(B5:B12)</f>
        <v>11366.7</v>
      </c>
      <c r="C13" s="10">
        <f>SUM(C5:C12)</f>
        <v>10800.300000000001</v>
      </c>
      <c r="D13" s="10">
        <f>SUM(D5:D12)</f>
        <v>10754.050000000001</v>
      </c>
      <c r="E13" s="10">
        <f>SUM(E5:E12)</f>
        <v>10516.02</v>
      </c>
      <c r="F13" s="10">
        <f>SUM(F5:F12)</f>
        <v>11648.69</v>
      </c>
      <c r="G13" s="9"/>
    </row>
    <row r="15" spans="1:7" x14ac:dyDescent="0.3">
      <c r="A15" s="37" t="s">
        <v>81</v>
      </c>
      <c r="B15" s="36"/>
      <c r="C15" s="36"/>
      <c r="D15" s="36"/>
      <c r="E15" s="36"/>
      <c r="F15" s="36"/>
      <c r="G15" s="36"/>
    </row>
    <row r="16" spans="1:7" ht="34.950000000000003" customHeight="1" x14ac:dyDescent="0.3">
      <c r="A16" s="6" t="s">
        <v>82</v>
      </c>
      <c r="B16" s="6" t="s">
        <v>59</v>
      </c>
      <c r="C16" s="6" t="s">
        <v>60</v>
      </c>
      <c r="D16" s="6" t="s">
        <v>61</v>
      </c>
      <c r="E16" s="6" t="s">
        <v>62</v>
      </c>
      <c r="F16" s="6" t="s">
        <v>63</v>
      </c>
      <c r="G16" s="6" t="s">
        <v>11</v>
      </c>
    </row>
    <row r="17" spans="1:7" ht="22.05" customHeight="1" x14ac:dyDescent="0.3">
      <c r="A17" s="11" t="s">
        <v>83</v>
      </c>
      <c r="B17" s="12">
        <v>2154.02</v>
      </c>
      <c r="C17" s="12">
        <v>2670.95</v>
      </c>
      <c r="D17" s="12">
        <v>3662.96</v>
      </c>
      <c r="E17" s="12">
        <v>5922.04</v>
      </c>
      <c r="F17" s="12">
        <v>7548.99</v>
      </c>
      <c r="G17" s="11" t="s">
        <v>84</v>
      </c>
    </row>
    <row r="18" spans="1:7" ht="22.05" customHeight="1" x14ac:dyDescent="0.3">
      <c r="A18" s="4" t="s">
        <v>85</v>
      </c>
      <c r="B18" s="8">
        <v>1961.31</v>
      </c>
      <c r="C18" s="8">
        <v>2474.4899999999998</v>
      </c>
      <c r="D18" s="8">
        <v>3465.18</v>
      </c>
      <c r="E18" s="8">
        <v>5689.74</v>
      </c>
      <c r="F18" s="8">
        <v>7125</v>
      </c>
      <c r="G18" s="4"/>
    </row>
    <row r="19" spans="1:7" ht="22.05" customHeight="1" x14ac:dyDescent="0.3">
      <c r="A19" s="11" t="s">
        <v>86</v>
      </c>
      <c r="B19" s="12">
        <v>9156.7099999999991</v>
      </c>
      <c r="C19" s="12">
        <v>8074.27</v>
      </c>
      <c r="D19" s="12">
        <v>7240.21</v>
      </c>
      <c r="E19" s="12">
        <v>5135.0600000000004</v>
      </c>
      <c r="F19" s="12">
        <v>5456.44</v>
      </c>
      <c r="G19" s="11" t="s">
        <v>87</v>
      </c>
    </row>
    <row r="20" spans="1:7" ht="22.05" customHeight="1" x14ac:dyDescent="0.3">
      <c r="A20" s="4" t="s">
        <v>88</v>
      </c>
      <c r="B20" s="8">
        <v>11366.71</v>
      </c>
      <c r="C20" s="8">
        <v>10800.3</v>
      </c>
      <c r="D20" s="8">
        <v>10754.05</v>
      </c>
      <c r="E20" s="8">
        <v>10516.02</v>
      </c>
      <c r="F20" s="8">
        <v>11648.68</v>
      </c>
      <c r="G20" s="4"/>
    </row>
    <row r="21" spans="1:7" ht="22.05" customHeight="1" x14ac:dyDescent="0.3">
      <c r="A21" s="11" t="s">
        <v>89</v>
      </c>
      <c r="B21" s="12">
        <v>9156.7099999999991</v>
      </c>
      <c r="C21" s="12">
        <v>8074.27</v>
      </c>
      <c r="D21" s="12">
        <v>7240.21</v>
      </c>
      <c r="E21" s="12">
        <v>5135.0600000000004</v>
      </c>
      <c r="F21" s="12">
        <v>5456.44</v>
      </c>
      <c r="G21" s="11" t="s">
        <v>90</v>
      </c>
    </row>
    <row r="22" spans="1:7" ht="22.05" customHeight="1" x14ac:dyDescent="0.3">
      <c r="A22" s="4" t="s">
        <v>91</v>
      </c>
      <c r="B22" s="8">
        <v>213629</v>
      </c>
      <c r="C22" s="8">
        <v>222058</v>
      </c>
      <c r="D22" s="8">
        <v>232465</v>
      </c>
      <c r="E22" s="8">
        <v>243285</v>
      </c>
      <c r="F22" s="8">
        <v>255517</v>
      </c>
      <c r="G22" s="4" t="s">
        <v>92</v>
      </c>
    </row>
    <row r="26" spans="1:7" x14ac:dyDescent="0.3">
      <c r="A26" s="37" t="s">
        <v>93</v>
      </c>
      <c r="B26" s="36"/>
      <c r="C26" s="36"/>
      <c r="D26" s="36"/>
      <c r="E26" s="36"/>
      <c r="F26" s="36"/>
      <c r="G26" s="36"/>
    </row>
    <row r="27" spans="1:7" ht="34.950000000000003" customHeight="1" x14ac:dyDescent="0.3">
      <c r="A27" s="6" t="s">
        <v>94</v>
      </c>
      <c r="B27" s="6" t="s">
        <v>95</v>
      </c>
      <c r="C27" s="6" t="s">
        <v>96</v>
      </c>
      <c r="D27" s="6" t="s">
        <v>97</v>
      </c>
      <c r="E27" s="6"/>
      <c r="F27" s="6"/>
      <c r="G27" s="6" t="s">
        <v>11</v>
      </c>
    </row>
    <row r="28" spans="1:7" ht="30" customHeight="1" x14ac:dyDescent="0.3">
      <c r="A28" s="13">
        <v>2020</v>
      </c>
      <c r="B28" s="14">
        <v>374.53</v>
      </c>
      <c r="C28" s="13" t="s">
        <v>98</v>
      </c>
      <c r="D28" s="13" t="s">
        <v>99</v>
      </c>
      <c r="E28" s="14"/>
      <c r="F28" s="15"/>
      <c r="G28" s="15"/>
    </row>
    <row r="29" spans="1:7" ht="30" customHeight="1" x14ac:dyDescent="0.3">
      <c r="A29" s="5">
        <v>2021</v>
      </c>
      <c r="B29" s="8">
        <v>435.35</v>
      </c>
      <c r="C29" s="5" t="s">
        <v>100</v>
      </c>
      <c r="D29" s="5" t="s">
        <v>101</v>
      </c>
      <c r="E29" s="16"/>
      <c r="F29" s="4"/>
      <c r="G29" s="4"/>
    </row>
    <row r="30" spans="1:7" ht="30" customHeight="1" x14ac:dyDescent="0.3">
      <c r="A30" s="13">
        <v>2022</v>
      </c>
      <c r="B30" s="14">
        <v>629.23</v>
      </c>
      <c r="C30" s="13" t="s">
        <v>102</v>
      </c>
      <c r="D30" s="13" t="s">
        <v>103</v>
      </c>
      <c r="E30" s="17"/>
      <c r="F30" s="15"/>
      <c r="G30" s="15"/>
    </row>
    <row r="31" spans="1:7" ht="30" customHeight="1" x14ac:dyDescent="0.3">
      <c r="A31" s="5">
        <v>2023</v>
      </c>
      <c r="B31" s="8">
        <v>955.51</v>
      </c>
      <c r="C31" s="5" t="s">
        <v>104</v>
      </c>
      <c r="D31" s="5" t="s">
        <v>103</v>
      </c>
      <c r="E31" s="16"/>
      <c r="F31" s="4"/>
      <c r="G31" s="4"/>
    </row>
    <row r="32" spans="1:7" ht="30" customHeight="1" x14ac:dyDescent="0.3">
      <c r="A32" s="13">
        <v>2024</v>
      </c>
      <c r="B32" s="14">
        <v>1026.44</v>
      </c>
      <c r="C32" s="13" t="s">
        <v>105</v>
      </c>
      <c r="D32" s="13" t="s">
        <v>106</v>
      </c>
      <c r="E32" s="17"/>
      <c r="F32" s="15"/>
      <c r="G32" s="15" t="s">
        <v>107</v>
      </c>
    </row>
    <row r="34" spans="1:7" x14ac:dyDescent="0.3">
      <c r="A34" s="37" t="s">
        <v>108</v>
      </c>
      <c r="B34" s="36"/>
      <c r="C34" s="36"/>
      <c r="D34" s="36"/>
      <c r="E34" s="36"/>
      <c r="F34" s="36"/>
      <c r="G34" s="36"/>
    </row>
    <row r="35" spans="1:7" ht="34.950000000000003" customHeight="1" x14ac:dyDescent="0.3">
      <c r="A35" s="6" t="s">
        <v>109</v>
      </c>
      <c r="B35" s="6" t="s">
        <v>59</v>
      </c>
      <c r="C35" s="6" t="s">
        <v>60</v>
      </c>
      <c r="D35" s="6" t="s">
        <v>61</v>
      </c>
      <c r="E35" s="6" t="s">
        <v>62</v>
      </c>
      <c r="F35" s="6" t="s">
        <v>63</v>
      </c>
      <c r="G35" s="6" t="s">
        <v>11</v>
      </c>
    </row>
    <row r="36" spans="1:7" ht="22.05" customHeight="1" x14ac:dyDescent="0.3">
      <c r="A36" s="18" t="s">
        <v>110</v>
      </c>
      <c r="B36" s="19" t="s">
        <v>111</v>
      </c>
      <c r="C36" s="19" t="s">
        <v>112</v>
      </c>
      <c r="D36" s="19" t="s">
        <v>113</v>
      </c>
      <c r="E36" s="19" t="s">
        <v>114</v>
      </c>
      <c r="F36" s="19" t="s">
        <v>115</v>
      </c>
      <c r="G36" s="18"/>
    </row>
    <row r="37" spans="1:7" ht="22.05" customHeight="1" x14ac:dyDescent="0.3">
      <c r="A37" s="4" t="s">
        <v>116</v>
      </c>
      <c r="B37" s="5" t="s">
        <v>117</v>
      </c>
      <c r="C37" s="5" t="s">
        <v>118</v>
      </c>
      <c r="D37" s="5" t="s">
        <v>119</v>
      </c>
      <c r="E37" s="5" t="s">
        <v>120</v>
      </c>
      <c r="F37" s="5" t="s">
        <v>120</v>
      </c>
      <c r="G37" s="4"/>
    </row>
    <row r="38" spans="1:7" ht="22.05" customHeight="1" x14ac:dyDescent="0.3">
      <c r="A38" s="18" t="s">
        <v>121</v>
      </c>
      <c r="B38" s="19" t="s">
        <v>122</v>
      </c>
      <c r="C38" s="19" t="s">
        <v>123</v>
      </c>
      <c r="D38" s="19" t="s">
        <v>124</v>
      </c>
      <c r="E38" s="19" t="s">
        <v>125</v>
      </c>
      <c r="F38" s="19" t="s">
        <v>126</v>
      </c>
      <c r="G38" s="18" t="s">
        <v>127</v>
      </c>
    </row>
    <row r="39" spans="1:7" ht="22.05" customHeight="1" x14ac:dyDescent="0.3">
      <c r="A39" s="4" t="s">
        <v>128</v>
      </c>
      <c r="B39" s="5" t="s">
        <v>129</v>
      </c>
      <c r="C39" s="5" t="s">
        <v>130</v>
      </c>
      <c r="D39" s="5" t="s">
        <v>131</v>
      </c>
      <c r="E39" s="5" t="s">
        <v>132</v>
      </c>
      <c r="F39" s="5" t="s">
        <v>133</v>
      </c>
      <c r="G39" s="4"/>
    </row>
  </sheetData>
  <mergeCells count="6">
    <mergeCell ref="A1:G1"/>
    <mergeCell ref="A34:G34"/>
    <mergeCell ref="A26:G26"/>
    <mergeCell ref="A3:G3"/>
    <mergeCell ref="A15:G15"/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54360"/>
  </sheetPr>
  <dimension ref="A1:M22"/>
  <sheetViews>
    <sheetView workbookViewId="0">
      <pane ySplit="3" topLeftCell="A16" activePane="bottomLeft" state="frozen"/>
      <selection pane="bottomLeft" activeCell="A4" sqref="A4:A20"/>
    </sheetView>
  </sheetViews>
  <sheetFormatPr baseColWidth="10" defaultColWidth="8.88671875" defaultRowHeight="14.4" x14ac:dyDescent="0.3"/>
  <cols>
    <col min="1" max="1" width="38" customWidth="1"/>
    <col min="2" max="3" width="13" customWidth="1"/>
    <col min="4" max="5" width="28" customWidth="1"/>
    <col min="6" max="6" width="12" customWidth="1"/>
    <col min="7" max="7" width="11" customWidth="1"/>
    <col min="8" max="8" width="8" customWidth="1"/>
    <col min="9" max="9" width="30" customWidth="1"/>
    <col min="10" max="10" width="22" customWidth="1"/>
    <col min="11" max="11" width="16" customWidth="1"/>
    <col min="12" max="12" width="14" customWidth="1"/>
    <col min="13" max="13" width="45" customWidth="1"/>
  </cols>
  <sheetData>
    <row r="1" spans="1:13" ht="30" customHeight="1" x14ac:dyDescent="0.3">
      <c r="A1" s="44" t="s">
        <v>134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3" ht="19.95" customHeight="1" x14ac:dyDescent="0.3">
      <c r="A2" s="40" t="s">
        <v>135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3" ht="40.049999999999997" customHeight="1" x14ac:dyDescent="0.3">
      <c r="A3" s="20" t="s">
        <v>136</v>
      </c>
      <c r="B3" s="20" t="s">
        <v>137</v>
      </c>
      <c r="C3" s="20" t="s">
        <v>138</v>
      </c>
      <c r="D3" s="20" t="s">
        <v>139</v>
      </c>
      <c r="E3" s="20" t="s">
        <v>140</v>
      </c>
      <c r="F3" s="20" t="s">
        <v>141</v>
      </c>
      <c r="G3" s="20" t="s">
        <v>142</v>
      </c>
      <c r="H3" s="20" t="s">
        <v>143</v>
      </c>
      <c r="I3" s="20" t="s">
        <v>9</v>
      </c>
      <c r="J3" s="20" t="s">
        <v>144</v>
      </c>
      <c r="K3" s="20" t="s">
        <v>145</v>
      </c>
      <c r="L3" s="20" t="s">
        <v>10</v>
      </c>
      <c r="M3" s="20" t="s">
        <v>11</v>
      </c>
    </row>
    <row r="4" spans="1:13" ht="40.049999999999997" customHeight="1" x14ac:dyDescent="0.3">
      <c r="A4" s="15" t="s">
        <v>146</v>
      </c>
      <c r="B4" s="15" t="s">
        <v>147</v>
      </c>
      <c r="C4" s="15" t="s">
        <v>148</v>
      </c>
      <c r="D4" s="15" t="s">
        <v>149</v>
      </c>
      <c r="E4" s="15" t="s">
        <v>150</v>
      </c>
      <c r="F4" s="13" t="s">
        <v>151</v>
      </c>
      <c r="G4" s="13" t="s">
        <v>152</v>
      </c>
      <c r="H4" s="13" t="s">
        <v>153</v>
      </c>
      <c r="I4" s="15" t="s">
        <v>154</v>
      </c>
      <c r="J4" s="15" t="s">
        <v>155</v>
      </c>
      <c r="K4" s="13" t="s">
        <v>156</v>
      </c>
      <c r="L4" s="13" t="s">
        <v>18</v>
      </c>
      <c r="M4" s="15" t="s">
        <v>157</v>
      </c>
    </row>
    <row r="5" spans="1:13" ht="40.049999999999997" customHeight="1" x14ac:dyDescent="0.3">
      <c r="A5" s="4" t="s">
        <v>158</v>
      </c>
      <c r="B5" s="4" t="s">
        <v>147</v>
      </c>
      <c r="C5" s="4" t="s">
        <v>148</v>
      </c>
      <c r="D5" s="4" t="s">
        <v>159</v>
      </c>
      <c r="E5" s="4" t="s">
        <v>150</v>
      </c>
      <c r="F5" s="5" t="s">
        <v>151</v>
      </c>
      <c r="G5" s="5" t="s">
        <v>152</v>
      </c>
      <c r="H5" s="5" t="s">
        <v>153</v>
      </c>
      <c r="I5" s="4" t="s">
        <v>154</v>
      </c>
      <c r="J5" s="4" t="s">
        <v>155</v>
      </c>
      <c r="K5" s="5" t="s">
        <v>160</v>
      </c>
      <c r="L5" s="5" t="s">
        <v>18</v>
      </c>
      <c r="M5" s="4" t="s">
        <v>161</v>
      </c>
    </row>
    <row r="6" spans="1:13" ht="40.049999999999997" customHeight="1" x14ac:dyDescent="0.3">
      <c r="A6" s="15" t="s">
        <v>162</v>
      </c>
      <c r="B6" s="15" t="s">
        <v>147</v>
      </c>
      <c r="C6" s="15" t="s">
        <v>148</v>
      </c>
      <c r="D6" s="15" t="s">
        <v>163</v>
      </c>
      <c r="E6" s="15" t="s">
        <v>164</v>
      </c>
      <c r="F6" s="13" t="s">
        <v>165</v>
      </c>
      <c r="G6" s="13" t="s">
        <v>152</v>
      </c>
      <c r="H6" s="13" t="s">
        <v>153</v>
      </c>
      <c r="I6" s="15" t="s">
        <v>154</v>
      </c>
      <c r="J6" s="15" t="s">
        <v>155</v>
      </c>
      <c r="K6" s="13" t="s">
        <v>59</v>
      </c>
      <c r="L6" s="13" t="s">
        <v>18</v>
      </c>
      <c r="M6" s="15" t="s">
        <v>166</v>
      </c>
    </row>
    <row r="7" spans="1:13" ht="40.049999999999997" customHeight="1" x14ac:dyDescent="0.3">
      <c r="A7" s="4" t="s">
        <v>167</v>
      </c>
      <c r="B7" s="4" t="s">
        <v>147</v>
      </c>
      <c r="C7" s="4" t="s">
        <v>147</v>
      </c>
      <c r="D7" s="4" t="s">
        <v>163</v>
      </c>
      <c r="E7" s="4" t="s">
        <v>168</v>
      </c>
      <c r="F7" s="5" t="s">
        <v>169</v>
      </c>
      <c r="G7" s="5" t="s">
        <v>152</v>
      </c>
      <c r="H7" s="5" t="s">
        <v>153</v>
      </c>
      <c r="I7" s="4" t="s">
        <v>154</v>
      </c>
      <c r="J7" s="4" t="s">
        <v>170</v>
      </c>
      <c r="K7" s="5" t="s">
        <v>59</v>
      </c>
      <c r="L7" s="5" t="s">
        <v>18</v>
      </c>
      <c r="M7" s="4" t="s">
        <v>171</v>
      </c>
    </row>
    <row r="8" spans="1:13" ht="40.049999999999997" customHeight="1" x14ac:dyDescent="0.3">
      <c r="A8" s="15" t="s">
        <v>172</v>
      </c>
      <c r="B8" s="15" t="s">
        <v>147</v>
      </c>
      <c r="C8" s="15" t="s">
        <v>148</v>
      </c>
      <c r="D8" s="15" t="s">
        <v>168</v>
      </c>
      <c r="E8" s="15" t="s">
        <v>164</v>
      </c>
      <c r="F8" s="13" t="s">
        <v>165</v>
      </c>
      <c r="G8" s="13" t="s">
        <v>152</v>
      </c>
      <c r="H8" s="13" t="s">
        <v>153</v>
      </c>
      <c r="I8" s="15" t="s">
        <v>154</v>
      </c>
      <c r="J8" s="15" t="s">
        <v>155</v>
      </c>
      <c r="K8" s="13" t="s">
        <v>63</v>
      </c>
      <c r="L8" s="13" t="s">
        <v>18</v>
      </c>
      <c r="M8" s="15" t="s">
        <v>173</v>
      </c>
    </row>
    <row r="9" spans="1:13" ht="40.049999999999997" customHeight="1" x14ac:dyDescent="0.3">
      <c r="A9" s="4" t="s">
        <v>174</v>
      </c>
      <c r="B9" s="4" t="s">
        <v>147</v>
      </c>
      <c r="C9" s="4" t="s">
        <v>147</v>
      </c>
      <c r="D9" s="4" t="s">
        <v>168</v>
      </c>
      <c r="E9" s="4" t="s">
        <v>175</v>
      </c>
      <c r="F9" s="5" t="s">
        <v>169</v>
      </c>
      <c r="G9" s="5" t="s">
        <v>152</v>
      </c>
      <c r="H9" s="5" t="s">
        <v>153</v>
      </c>
      <c r="I9" s="4" t="s">
        <v>154</v>
      </c>
      <c r="J9" s="4" t="s">
        <v>170</v>
      </c>
      <c r="K9" s="5" t="s">
        <v>63</v>
      </c>
      <c r="L9" s="5" t="s">
        <v>18</v>
      </c>
      <c r="M9" s="4" t="s">
        <v>176</v>
      </c>
    </row>
    <row r="10" spans="1:13" ht="40.049999999999997" customHeight="1" x14ac:dyDescent="0.3">
      <c r="A10" s="15" t="s">
        <v>177</v>
      </c>
      <c r="B10" s="15" t="s">
        <v>147</v>
      </c>
      <c r="C10" s="15" t="s">
        <v>147</v>
      </c>
      <c r="D10" s="15" t="s">
        <v>178</v>
      </c>
      <c r="E10" s="15" t="s">
        <v>175</v>
      </c>
      <c r="F10" s="13" t="s">
        <v>169</v>
      </c>
      <c r="G10" s="13" t="s">
        <v>152</v>
      </c>
      <c r="H10" s="13" t="s">
        <v>153</v>
      </c>
      <c r="I10" s="15" t="s">
        <v>154</v>
      </c>
      <c r="J10" s="15" t="s">
        <v>170</v>
      </c>
      <c r="K10" s="13" t="s">
        <v>179</v>
      </c>
      <c r="L10" s="13" t="s">
        <v>18</v>
      </c>
      <c r="M10" s="15" t="s">
        <v>180</v>
      </c>
    </row>
    <row r="11" spans="1:13" ht="40.049999999999997" customHeight="1" x14ac:dyDescent="0.3">
      <c r="A11" s="4" t="s">
        <v>181</v>
      </c>
      <c r="B11" s="4" t="s">
        <v>147</v>
      </c>
      <c r="C11" s="4" t="s">
        <v>148</v>
      </c>
      <c r="D11" s="4" t="s">
        <v>175</v>
      </c>
      <c r="E11" s="4" t="s">
        <v>164</v>
      </c>
      <c r="F11" s="5" t="s">
        <v>182</v>
      </c>
      <c r="G11" s="5" t="s">
        <v>152</v>
      </c>
      <c r="H11" s="5" t="s">
        <v>153</v>
      </c>
      <c r="I11" s="4" t="s">
        <v>183</v>
      </c>
      <c r="J11" s="4" t="s">
        <v>155</v>
      </c>
      <c r="K11" s="5" t="s">
        <v>179</v>
      </c>
      <c r="L11" s="5" t="s">
        <v>18</v>
      </c>
      <c r="M11" s="4" t="s">
        <v>184</v>
      </c>
    </row>
    <row r="12" spans="1:13" ht="40.049999999999997" customHeight="1" x14ac:dyDescent="0.3">
      <c r="A12" s="15" t="s">
        <v>185</v>
      </c>
      <c r="B12" s="15" t="s">
        <v>147</v>
      </c>
      <c r="C12" s="15" t="s">
        <v>148</v>
      </c>
      <c r="D12" s="15" t="s">
        <v>186</v>
      </c>
      <c r="E12" s="15" t="s">
        <v>187</v>
      </c>
      <c r="F12" s="13" t="s">
        <v>188</v>
      </c>
      <c r="G12" s="13" t="s">
        <v>189</v>
      </c>
      <c r="H12" s="13" t="s">
        <v>153</v>
      </c>
      <c r="I12" s="15" t="s">
        <v>190</v>
      </c>
      <c r="J12" s="15" t="s">
        <v>155</v>
      </c>
      <c r="K12" s="13" t="s">
        <v>191</v>
      </c>
      <c r="L12" s="13" t="s">
        <v>18</v>
      </c>
      <c r="M12" s="15" t="s">
        <v>192</v>
      </c>
    </row>
    <row r="13" spans="1:13" ht="40.049999999999997" customHeight="1" x14ac:dyDescent="0.3">
      <c r="A13" s="4" t="s">
        <v>193</v>
      </c>
      <c r="B13" s="4" t="s">
        <v>147</v>
      </c>
      <c r="C13" s="4" t="s">
        <v>148</v>
      </c>
      <c r="D13" s="4" t="s">
        <v>194</v>
      </c>
      <c r="E13" s="4" t="s">
        <v>150</v>
      </c>
      <c r="F13" s="5" t="s">
        <v>188</v>
      </c>
      <c r="G13" s="5" t="s">
        <v>189</v>
      </c>
      <c r="H13" s="5" t="s">
        <v>153</v>
      </c>
      <c r="I13" s="4" t="s">
        <v>195</v>
      </c>
      <c r="J13" s="4" t="s">
        <v>155</v>
      </c>
      <c r="K13" s="5" t="s">
        <v>191</v>
      </c>
      <c r="L13" s="5" t="s">
        <v>18</v>
      </c>
      <c r="M13" s="4" t="s">
        <v>196</v>
      </c>
    </row>
    <row r="14" spans="1:13" ht="40.049999999999997" customHeight="1" x14ac:dyDescent="0.3">
      <c r="A14" s="15" t="s">
        <v>197</v>
      </c>
      <c r="B14" s="15" t="s">
        <v>147</v>
      </c>
      <c r="C14" s="15" t="s">
        <v>148</v>
      </c>
      <c r="D14" s="15" t="s">
        <v>198</v>
      </c>
      <c r="E14" s="15" t="s">
        <v>187</v>
      </c>
      <c r="F14" s="13" t="s">
        <v>199</v>
      </c>
      <c r="G14" s="13" t="s">
        <v>189</v>
      </c>
      <c r="H14" s="13" t="s">
        <v>153</v>
      </c>
      <c r="I14" s="15" t="s">
        <v>195</v>
      </c>
      <c r="J14" s="15" t="s">
        <v>155</v>
      </c>
      <c r="K14" s="13" t="s">
        <v>191</v>
      </c>
      <c r="L14" s="13" t="s">
        <v>18</v>
      </c>
      <c r="M14" s="15" t="s">
        <v>200</v>
      </c>
    </row>
    <row r="15" spans="1:13" ht="40.049999999999997" customHeight="1" x14ac:dyDescent="0.3">
      <c r="A15" s="4" t="s">
        <v>201</v>
      </c>
      <c r="B15" s="4" t="s">
        <v>147</v>
      </c>
      <c r="C15" s="4" t="s">
        <v>148</v>
      </c>
      <c r="D15" s="4" t="s">
        <v>202</v>
      </c>
      <c r="E15" s="4" t="s">
        <v>203</v>
      </c>
      <c r="F15" s="5" t="s">
        <v>199</v>
      </c>
      <c r="G15" s="5" t="s">
        <v>189</v>
      </c>
      <c r="H15" s="5" t="s">
        <v>153</v>
      </c>
      <c r="I15" s="4" t="s">
        <v>190</v>
      </c>
      <c r="J15" s="4" t="s">
        <v>204</v>
      </c>
      <c r="K15" s="5" t="s">
        <v>205</v>
      </c>
      <c r="L15" s="5" t="s">
        <v>18</v>
      </c>
      <c r="M15" s="4" t="s">
        <v>206</v>
      </c>
    </row>
    <row r="16" spans="1:13" ht="40.049999999999997" customHeight="1" x14ac:dyDescent="0.3">
      <c r="A16" s="15" t="s">
        <v>207</v>
      </c>
      <c r="B16" s="15" t="s">
        <v>147</v>
      </c>
      <c r="C16" s="15" t="s">
        <v>147</v>
      </c>
      <c r="D16" s="15" t="s">
        <v>208</v>
      </c>
      <c r="E16" s="15" t="s">
        <v>209</v>
      </c>
      <c r="F16" s="13" t="s">
        <v>169</v>
      </c>
      <c r="G16" s="13" t="s">
        <v>189</v>
      </c>
      <c r="H16" s="13" t="s">
        <v>153</v>
      </c>
      <c r="I16" s="15" t="s">
        <v>190</v>
      </c>
      <c r="J16" s="15" t="s">
        <v>170</v>
      </c>
      <c r="K16" s="13" t="s">
        <v>205</v>
      </c>
      <c r="L16" s="13" t="s">
        <v>18</v>
      </c>
      <c r="M16" s="15" t="s">
        <v>210</v>
      </c>
    </row>
    <row r="17" spans="1:13" ht="40.049999999999997" customHeight="1" x14ac:dyDescent="0.3">
      <c r="A17" s="4" t="s">
        <v>211</v>
      </c>
      <c r="B17" s="4" t="s">
        <v>147</v>
      </c>
      <c r="C17" s="4" t="s">
        <v>148</v>
      </c>
      <c r="D17" s="4" t="s">
        <v>212</v>
      </c>
      <c r="E17" s="4" t="s">
        <v>213</v>
      </c>
      <c r="F17" s="5" t="s">
        <v>214</v>
      </c>
      <c r="G17" s="5" t="s">
        <v>215</v>
      </c>
      <c r="H17" s="5" t="s">
        <v>153</v>
      </c>
      <c r="I17" s="4" t="s">
        <v>216</v>
      </c>
      <c r="J17" s="4" t="s">
        <v>217</v>
      </c>
      <c r="K17" s="5" t="s">
        <v>218</v>
      </c>
      <c r="L17" s="5" t="s">
        <v>18</v>
      </c>
      <c r="M17" s="4" t="s">
        <v>219</v>
      </c>
    </row>
    <row r="18" spans="1:13" ht="40.049999999999997" customHeight="1" x14ac:dyDescent="0.3">
      <c r="A18" s="15" t="s">
        <v>220</v>
      </c>
      <c r="B18" s="15" t="s">
        <v>147</v>
      </c>
      <c r="C18" s="15" t="s">
        <v>148</v>
      </c>
      <c r="D18" s="15" t="s">
        <v>221</v>
      </c>
      <c r="E18" s="15" t="s">
        <v>222</v>
      </c>
      <c r="F18" s="13" t="s">
        <v>223</v>
      </c>
      <c r="G18" s="13" t="s">
        <v>215</v>
      </c>
      <c r="H18" s="13" t="s">
        <v>153</v>
      </c>
      <c r="I18" s="15" t="s">
        <v>216</v>
      </c>
      <c r="J18" s="15" t="s">
        <v>224</v>
      </c>
      <c r="K18" s="13" t="s">
        <v>218</v>
      </c>
      <c r="L18" s="13" t="s">
        <v>18</v>
      </c>
      <c r="M18" s="15" t="s">
        <v>225</v>
      </c>
    </row>
    <row r="19" spans="1:13" ht="40.049999999999997" customHeight="1" x14ac:dyDescent="0.3">
      <c r="A19" s="4" t="s">
        <v>226</v>
      </c>
      <c r="B19" s="4" t="s">
        <v>147</v>
      </c>
      <c r="C19" s="4" t="s">
        <v>148</v>
      </c>
      <c r="D19" s="4" t="s">
        <v>202</v>
      </c>
      <c r="E19" s="4" t="s">
        <v>227</v>
      </c>
      <c r="F19" s="5" t="s">
        <v>228</v>
      </c>
      <c r="G19" s="5" t="s">
        <v>229</v>
      </c>
      <c r="H19" s="5" t="s">
        <v>153</v>
      </c>
      <c r="I19" s="4" t="s">
        <v>230</v>
      </c>
      <c r="J19" s="4" t="s">
        <v>204</v>
      </c>
      <c r="K19" s="5" t="s">
        <v>231</v>
      </c>
      <c r="L19" s="5" t="s">
        <v>18</v>
      </c>
      <c r="M19" s="4" t="s">
        <v>232</v>
      </c>
    </row>
    <row r="20" spans="1:13" ht="40.049999999999997" customHeight="1" x14ac:dyDescent="0.3">
      <c r="A20" s="15" t="s">
        <v>233</v>
      </c>
      <c r="B20" s="15" t="s">
        <v>147</v>
      </c>
      <c r="C20" s="15" t="s">
        <v>234</v>
      </c>
      <c r="D20" s="15" t="s">
        <v>235</v>
      </c>
      <c r="E20" s="15" t="s">
        <v>236</v>
      </c>
      <c r="F20" s="13" t="s">
        <v>228</v>
      </c>
      <c r="G20" s="13" t="s">
        <v>229</v>
      </c>
      <c r="H20" s="13" t="s">
        <v>153</v>
      </c>
      <c r="I20" s="15" t="s">
        <v>237</v>
      </c>
      <c r="J20" s="15" t="s">
        <v>238</v>
      </c>
      <c r="K20" s="13" t="s">
        <v>231</v>
      </c>
      <c r="L20" s="13" t="s">
        <v>18</v>
      </c>
      <c r="M20" s="15" t="s">
        <v>239</v>
      </c>
    </row>
    <row r="22" spans="1:13" ht="25.05" customHeight="1" x14ac:dyDescent="0.3">
      <c r="A22" s="43" t="s">
        <v>240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</row>
  </sheetData>
  <mergeCells count="3">
    <mergeCell ref="A2:L2"/>
    <mergeCell ref="A22:L2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A235A"/>
  </sheetPr>
  <dimension ref="A1:M12"/>
  <sheetViews>
    <sheetView workbookViewId="0">
      <pane ySplit="3" topLeftCell="A7" activePane="bottomLeft" state="frozen"/>
      <selection pane="bottomLeft" activeCell="A4" sqref="A4:A10"/>
    </sheetView>
  </sheetViews>
  <sheetFormatPr baseColWidth="10" defaultColWidth="8.88671875" defaultRowHeight="14.4" x14ac:dyDescent="0.3"/>
  <cols>
    <col min="1" max="1" width="38" customWidth="1"/>
    <col min="2" max="3" width="13" customWidth="1"/>
    <col min="4" max="5" width="25" customWidth="1"/>
    <col min="6" max="6" width="12" customWidth="1"/>
    <col min="7" max="7" width="18" customWidth="1"/>
    <col min="8" max="8" width="12" customWidth="1"/>
    <col min="9" max="9" width="8" customWidth="1"/>
    <col min="10" max="10" width="50" customWidth="1"/>
    <col min="11" max="11" width="16" customWidth="1"/>
    <col min="12" max="12" width="18" customWidth="1"/>
    <col min="13" max="13" width="45" customWidth="1"/>
  </cols>
  <sheetData>
    <row r="1" spans="1:13" ht="30" customHeight="1" x14ac:dyDescent="0.3">
      <c r="A1" s="45" t="s">
        <v>241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3" ht="19.95" customHeight="1" x14ac:dyDescent="0.3">
      <c r="A2" s="40" t="s">
        <v>242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3" ht="40.049999999999997" customHeight="1" x14ac:dyDescent="0.3">
      <c r="A3" s="21" t="s">
        <v>136</v>
      </c>
      <c r="B3" s="21" t="s">
        <v>137</v>
      </c>
      <c r="C3" s="21" t="s">
        <v>138</v>
      </c>
      <c r="D3" s="21" t="s">
        <v>139</v>
      </c>
      <c r="E3" s="21" t="s">
        <v>140</v>
      </c>
      <c r="F3" s="21" t="s">
        <v>142</v>
      </c>
      <c r="G3" s="21" t="s">
        <v>243</v>
      </c>
      <c r="H3" s="21" t="s">
        <v>141</v>
      </c>
      <c r="I3" s="21" t="s">
        <v>143</v>
      </c>
      <c r="J3" s="21" t="s">
        <v>244</v>
      </c>
      <c r="K3" s="21" t="s">
        <v>245</v>
      </c>
      <c r="L3" s="21" t="s">
        <v>10</v>
      </c>
      <c r="M3" s="21" t="s">
        <v>246</v>
      </c>
    </row>
    <row r="4" spans="1:13" ht="55.05" customHeight="1" x14ac:dyDescent="0.3">
      <c r="A4" s="22" t="s">
        <v>247</v>
      </c>
      <c r="B4" s="22" t="s">
        <v>147</v>
      </c>
      <c r="C4" s="22" t="s">
        <v>148</v>
      </c>
      <c r="D4" s="22" t="s">
        <v>163</v>
      </c>
      <c r="E4" s="22" t="s">
        <v>248</v>
      </c>
      <c r="F4" s="23" t="s">
        <v>152</v>
      </c>
      <c r="G4" s="22" t="s">
        <v>249</v>
      </c>
      <c r="H4" s="23" t="s">
        <v>250</v>
      </c>
      <c r="I4" s="23" t="s">
        <v>153</v>
      </c>
      <c r="J4" s="22" t="s">
        <v>251</v>
      </c>
      <c r="K4" s="23" t="s">
        <v>252</v>
      </c>
      <c r="L4" s="23" t="s">
        <v>253</v>
      </c>
      <c r="M4" s="22" t="s">
        <v>254</v>
      </c>
    </row>
    <row r="5" spans="1:13" ht="55.05" customHeight="1" x14ac:dyDescent="0.3">
      <c r="A5" s="4" t="s">
        <v>255</v>
      </c>
      <c r="B5" s="4" t="s">
        <v>147</v>
      </c>
      <c r="C5" s="4" t="s">
        <v>148</v>
      </c>
      <c r="D5" s="4" t="s">
        <v>256</v>
      </c>
      <c r="E5" s="4" t="s">
        <v>257</v>
      </c>
      <c r="F5" s="5" t="s">
        <v>152</v>
      </c>
      <c r="G5" s="4" t="s">
        <v>249</v>
      </c>
      <c r="H5" s="5" t="s">
        <v>258</v>
      </c>
      <c r="I5" s="5" t="s">
        <v>153</v>
      </c>
      <c r="J5" s="4" t="s">
        <v>259</v>
      </c>
      <c r="K5" s="5" t="s">
        <v>260</v>
      </c>
      <c r="L5" s="5" t="s">
        <v>261</v>
      </c>
      <c r="M5" s="4" t="s">
        <v>254</v>
      </c>
    </row>
    <row r="6" spans="1:13" ht="55.05" customHeight="1" x14ac:dyDescent="0.3">
      <c r="A6" s="22" t="s">
        <v>262</v>
      </c>
      <c r="B6" s="22" t="s">
        <v>147</v>
      </c>
      <c r="C6" s="22" t="s">
        <v>148</v>
      </c>
      <c r="D6" s="22" t="s">
        <v>263</v>
      </c>
      <c r="E6" s="22" t="s">
        <v>264</v>
      </c>
      <c r="F6" s="23" t="s">
        <v>152</v>
      </c>
      <c r="G6" s="22" t="s">
        <v>249</v>
      </c>
      <c r="H6" s="23" t="s">
        <v>265</v>
      </c>
      <c r="I6" s="23" t="s">
        <v>153</v>
      </c>
      <c r="J6" s="22" t="s">
        <v>266</v>
      </c>
      <c r="K6" s="23" t="s">
        <v>267</v>
      </c>
      <c r="L6" s="23" t="s">
        <v>268</v>
      </c>
      <c r="M6" s="22" t="s">
        <v>269</v>
      </c>
    </row>
    <row r="7" spans="1:13" ht="55.05" customHeight="1" x14ac:dyDescent="0.3">
      <c r="A7" s="4" t="s">
        <v>270</v>
      </c>
      <c r="B7" s="4" t="s">
        <v>147</v>
      </c>
      <c r="C7" s="4" t="s">
        <v>148</v>
      </c>
      <c r="D7" s="4" t="s">
        <v>271</v>
      </c>
      <c r="E7" s="4" t="s">
        <v>272</v>
      </c>
      <c r="F7" s="5" t="s">
        <v>152</v>
      </c>
      <c r="G7" s="4" t="s">
        <v>249</v>
      </c>
      <c r="H7" s="5" t="s">
        <v>273</v>
      </c>
      <c r="I7" s="5" t="s">
        <v>153</v>
      </c>
      <c r="J7" s="4" t="s">
        <v>274</v>
      </c>
      <c r="K7" s="5" t="s">
        <v>260</v>
      </c>
      <c r="L7" s="5" t="s">
        <v>261</v>
      </c>
      <c r="M7" s="4" t="s">
        <v>254</v>
      </c>
    </row>
    <row r="8" spans="1:13" ht="55.05" customHeight="1" x14ac:dyDescent="0.3">
      <c r="A8" s="22" t="s">
        <v>275</v>
      </c>
      <c r="B8" s="22" t="s">
        <v>147</v>
      </c>
      <c r="C8" s="22" t="s">
        <v>148</v>
      </c>
      <c r="D8" s="22" t="s">
        <v>276</v>
      </c>
      <c r="E8" s="22" t="s">
        <v>148</v>
      </c>
      <c r="F8" s="23" t="s">
        <v>152</v>
      </c>
      <c r="G8" s="22" t="s">
        <v>249</v>
      </c>
      <c r="H8" s="23" t="s">
        <v>277</v>
      </c>
      <c r="I8" s="23" t="s">
        <v>153</v>
      </c>
      <c r="J8" s="22" t="s">
        <v>278</v>
      </c>
      <c r="K8" s="23" t="s">
        <v>279</v>
      </c>
      <c r="L8" s="23" t="s">
        <v>268</v>
      </c>
      <c r="M8" s="22" t="s">
        <v>254</v>
      </c>
    </row>
    <row r="9" spans="1:13" ht="55.05" customHeight="1" x14ac:dyDescent="0.3">
      <c r="A9" s="4" t="s">
        <v>280</v>
      </c>
      <c r="B9" s="4" t="s">
        <v>147</v>
      </c>
      <c r="C9" s="4" t="s">
        <v>281</v>
      </c>
      <c r="D9" s="4" t="s">
        <v>282</v>
      </c>
      <c r="E9" s="4" t="s">
        <v>282</v>
      </c>
      <c r="F9" s="5" t="s">
        <v>152</v>
      </c>
      <c r="G9" s="4" t="s">
        <v>283</v>
      </c>
      <c r="H9" s="5" t="s">
        <v>282</v>
      </c>
      <c r="I9" s="5" t="s">
        <v>153</v>
      </c>
      <c r="J9" s="4" t="s">
        <v>284</v>
      </c>
      <c r="K9" s="5" t="s">
        <v>260</v>
      </c>
      <c r="L9" s="5" t="s">
        <v>285</v>
      </c>
      <c r="M9" s="4" t="s">
        <v>254</v>
      </c>
    </row>
    <row r="10" spans="1:13" ht="55.05" customHeight="1" x14ac:dyDescent="0.3">
      <c r="A10" s="22" t="s">
        <v>286</v>
      </c>
      <c r="B10" s="22" t="s">
        <v>147</v>
      </c>
      <c r="C10" s="22" t="s">
        <v>148</v>
      </c>
      <c r="D10" s="22" t="s">
        <v>287</v>
      </c>
      <c r="E10" s="22" t="s">
        <v>272</v>
      </c>
      <c r="F10" s="23" t="s">
        <v>288</v>
      </c>
      <c r="G10" s="22" t="s">
        <v>289</v>
      </c>
      <c r="H10" s="23" t="s">
        <v>290</v>
      </c>
      <c r="I10" s="23" t="s">
        <v>153</v>
      </c>
      <c r="J10" s="22" t="s">
        <v>291</v>
      </c>
      <c r="K10" s="23" t="s">
        <v>292</v>
      </c>
      <c r="L10" s="23" t="s">
        <v>293</v>
      </c>
      <c r="M10" s="22" t="s">
        <v>294</v>
      </c>
    </row>
    <row r="12" spans="1:13" ht="25.05" customHeight="1" x14ac:dyDescent="0.3">
      <c r="A12" s="43" t="s">
        <v>295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</row>
  </sheetData>
  <mergeCells count="3">
    <mergeCell ref="A2:L2"/>
    <mergeCell ref="A1:L1"/>
    <mergeCell ref="A12:M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E6655"/>
  </sheetPr>
  <dimension ref="A1:I47"/>
  <sheetViews>
    <sheetView tabSelected="1" workbookViewId="0">
      <pane ySplit="4" topLeftCell="A37" activePane="bottomLeft" state="frozen"/>
      <selection pane="bottomLeft" activeCell="A5" sqref="A5:A14"/>
    </sheetView>
  </sheetViews>
  <sheetFormatPr baseColWidth="10" defaultColWidth="8.88671875" defaultRowHeight="14.4" x14ac:dyDescent="0.3"/>
  <cols>
    <col min="1" max="1" width="36" customWidth="1"/>
    <col min="2" max="2" width="18" customWidth="1"/>
    <col min="3" max="3" width="28" customWidth="1"/>
    <col min="4" max="4" width="18" customWidth="1"/>
    <col min="5" max="8" width="14" customWidth="1"/>
    <col min="9" max="9" width="50" customWidth="1"/>
  </cols>
  <sheetData>
    <row r="1" spans="1:9" ht="30" customHeight="1" x14ac:dyDescent="0.3">
      <c r="A1" s="46" t="s">
        <v>296</v>
      </c>
      <c r="B1" s="36"/>
      <c r="C1" s="36"/>
      <c r="D1" s="36"/>
      <c r="E1" s="36"/>
      <c r="F1" s="36"/>
      <c r="G1" s="36"/>
      <c r="H1" s="36"/>
      <c r="I1" s="36"/>
    </row>
    <row r="2" spans="1:9" ht="19.95" customHeight="1" x14ac:dyDescent="0.3">
      <c r="A2" s="40" t="s">
        <v>1</v>
      </c>
      <c r="B2" s="36"/>
      <c r="C2" s="36"/>
      <c r="D2" s="36"/>
      <c r="E2" s="36"/>
      <c r="F2" s="36"/>
      <c r="G2" s="36"/>
      <c r="H2" s="36"/>
      <c r="I2" s="36"/>
    </row>
    <row r="3" spans="1:9" x14ac:dyDescent="0.3">
      <c r="A3" s="47" t="s">
        <v>297</v>
      </c>
      <c r="B3" s="38"/>
      <c r="C3" s="38"/>
      <c r="D3" s="38"/>
      <c r="E3" s="38"/>
      <c r="F3" s="38"/>
      <c r="G3" s="38"/>
      <c r="H3" s="38"/>
      <c r="I3" s="39"/>
    </row>
    <row r="4" spans="1:9" ht="40.049999999999997" customHeight="1" x14ac:dyDescent="0.3">
      <c r="A4" s="24" t="s">
        <v>142</v>
      </c>
      <c r="B4" s="24" t="s">
        <v>298</v>
      </c>
      <c r="C4" s="24" t="s">
        <v>299</v>
      </c>
      <c r="D4" s="24" t="s">
        <v>300</v>
      </c>
      <c r="E4" s="24" t="s">
        <v>301</v>
      </c>
      <c r="F4" s="24" t="s">
        <v>302</v>
      </c>
      <c r="G4" s="24" t="s">
        <v>303</v>
      </c>
      <c r="H4" s="24" t="s">
        <v>304</v>
      </c>
      <c r="I4" s="24" t="s">
        <v>11</v>
      </c>
    </row>
    <row r="5" spans="1:9" ht="40.049999999999997" customHeight="1" x14ac:dyDescent="0.3">
      <c r="A5" s="11" t="s">
        <v>152</v>
      </c>
      <c r="B5" s="11" t="s">
        <v>305</v>
      </c>
      <c r="C5" s="12">
        <v>496.11</v>
      </c>
      <c r="D5" s="12">
        <v>1156</v>
      </c>
      <c r="E5" s="11" t="s">
        <v>306</v>
      </c>
      <c r="F5" s="11" t="s">
        <v>307</v>
      </c>
      <c r="G5" s="12">
        <v>496.11</v>
      </c>
      <c r="H5" s="12">
        <v>496.11</v>
      </c>
      <c r="I5" s="11" t="s">
        <v>308</v>
      </c>
    </row>
    <row r="6" spans="1:9" ht="40.049999999999997" customHeight="1" x14ac:dyDescent="0.3">
      <c r="A6" s="4" t="s">
        <v>152</v>
      </c>
      <c r="B6" s="4" t="s">
        <v>309</v>
      </c>
      <c r="C6" s="8">
        <v>4.75</v>
      </c>
      <c r="D6" s="8">
        <v>12</v>
      </c>
      <c r="E6" s="4" t="s">
        <v>310</v>
      </c>
      <c r="F6" s="4" t="s">
        <v>311</v>
      </c>
      <c r="G6" s="8">
        <v>4.75</v>
      </c>
      <c r="H6" s="8">
        <v>4.75</v>
      </c>
      <c r="I6" s="4" t="s">
        <v>312</v>
      </c>
    </row>
    <row r="7" spans="1:9" ht="40.049999999999997" customHeight="1" x14ac:dyDescent="0.3">
      <c r="A7" s="11" t="s">
        <v>189</v>
      </c>
      <c r="B7" s="11" t="s">
        <v>313</v>
      </c>
      <c r="C7" s="12">
        <v>187.26</v>
      </c>
      <c r="D7" s="12">
        <v>488</v>
      </c>
      <c r="E7" s="11" t="s">
        <v>314</v>
      </c>
      <c r="F7" s="11" t="s">
        <v>315</v>
      </c>
      <c r="G7" s="12">
        <v>181.72</v>
      </c>
      <c r="H7" s="12">
        <v>181.74</v>
      </c>
      <c r="I7" s="11"/>
    </row>
    <row r="8" spans="1:9" ht="40.049999999999997" customHeight="1" x14ac:dyDescent="0.3">
      <c r="A8" s="4" t="s">
        <v>189</v>
      </c>
      <c r="B8" s="4" t="s">
        <v>316</v>
      </c>
      <c r="C8" s="8">
        <v>183.01</v>
      </c>
      <c r="D8" s="8">
        <v>280</v>
      </c>
      <c r="E8" s="4" t="s">
        <v>314</v>
      </c>
      <c r="F8" s="4" t="s">
        <v>317</v>
      </c>
      <c r="G8" s="8">
        <v>137.47999999999999</v>
      </c>
      <c r="H8" s="8">
        <v>136.97999999999999</v>
      </c>
      <c r="I8" s="4" t="s">
        <v>318</v>
      </c>
    </row>
    <row r="9" spans="1:9" ht="40.049999999999997" customHeight="1" x14ac:dyDescent="0.3">
      <c r="A9" s="11" t="s">
        <v>215</v>
      </c>
      <c r="B9" s="11" t="s">
        <v>319</v>
      </c>
      <c r="C9" s="12">
        <v>344.65</v>
      </c>
      <c r="D9" s="12">
        <v>541</v>
      </c>
      <c r="E9" s="11" t="s">
        <v>320</v>
      </c>
      <c r="F9" s="11" t="s">
        <v>321</v>
      </c>
      <c r="G9" s="12">
        <v>344.65</v>
      </c>
      <c r="H9" s="12">
        <v>344.65</v>
      </c>
      <c r="I9" s="11" t="s">
        <v>322</v>
      </c>
    </row>
    <row r="10" spans="1:9" ht="40.049999999999997" customHeight="1" x14ac:dyDescent="0.3">
      <c r="A10" s="4" t="s">
        <v>215</v>
      </c>
      <c r="B10" s="4" t="s">
        <v>323</v>
      </c>
      <c r="C10" s="8">
        <v>157.99</v>
      </c>
      <c r="D10" s="8">
        <v>327</v>
      </c>
      <c r="E10" s="4" t="s">
        <v>320</v>
      </c>
      <c r="F10" s="4" t="s">
        <v>324</v>
      </c>
      <c r="G10" s="8">
        <v>156.88999999999999</v>
      </c>
      <c r="H10" s="8">
        <v>156.88999999999999</v>
      </c>
      <c r="I10" s="4"/>
    </row>
    <row r="11" spans="1:9" ht="40.049999999999997" customHeight="1" x14ac:dyDescent="0.3">
      <c r="A11" s="11" t="s">
        <v>229</v>
      </c>
      <c r="B11" s="11" t="s">
        <v>325</v>
      </c>
      <c r="C11" s="12">
        <v>384.04</v>
      </c>
      <c r="D11" s="12">
        <v>744</v>
      </c>
      <c r="E11" s="11" t="s">
        <v>326</v>
      </c>
      <c r="F11" s="11" t="s">
        <v>327</v>
      </c>
      <c r="G11" s="12">
        <v>349.8</v>
      </c>
      <c r="H11" s="12">
        <v>345.7</v>
      </c>
      <c r="I11" s="11" t="s">
        <v>328</v>
      </c>
    </row>
    <row r="12" spans="1:9" ht="40.049999999999997" customHeight="1" x14ac:dyDescent="0.3">
      <c r="A12" s="4" t="s">
        <v>229</v>
      </c>
      <c r="B12" s="4" t="s">
        <v>329</v>
      </c>
      <c r="C12" s="8">
        <v>69.040000000000006</v>
      </c>
      <c r="D12" s="8">
        <v>110</v>
      </c>
      <c r="E12" s="4" t="s">
        <v>330</v>
      </c>
      <c r="F12" s="4" t="s">
        <v>331</v>
      </c>
      <c r="G12" s="8">
        <v>59.92</v>
      </c>
      <c r="H12" s="8">
        <v>59.92</v>
      </c>
      <c r="I12" s="4"/>
    </row>
    <row r="13" spans="1:9" ht="40.049999999999997" customHeight="1" x14ac:dyDescent="0.3">
      <c r="A13" s="11" t="s">
        <v>229</v>
      </c>
      <c r="B13" s="11" t="s">
        <v>332</v>
      </c>
      <c r="C13" s="12">
        <v>3.41</v>
      </c>
      <c r="D13" s="12">
        <v>17</v>
      </c>
      <c r="E13" s="11" t="s">
        <v>333</v>
      </c>
      <c r="F13" s="11" t="s">
        <v>334</v>
      </c>
      <c r="G13" s="12">
        <v>3.41</v>
      </c>
      <c r="H13" s="12">
        <v>3.41</v>
      </c>
      <c r="I13" s="11" t="s">
        <v>335</v>
      </c>
    </row>
    <row r="14" spans="1:9" ht="40.049999999999997" customHeight="1" x14ac:dyDescent="0.3">
      <c r="A14" s="4" t="s">
        <v>229</v>
      </c>
      <c r="B14" s="4" t="s">
        <v>336</v>
      </c>
      <c r="C14" s="8">
        <v>6.72</v>
      </c>
      <c r="D14" s="8" t="s">
        <v>43</v>
      </c>
      <c r="E14" s="4" t="s">
        <v>337</v>
      </c>
      <c r="F14" s="4" t="s">
        <v>338</v>
      </c>
      <c r="G14" s="8">
        <v>6.72</v>
      </c>
      <c r="H14" s="8">
        <v>6.72</v>
      </c>
      <c r="I14" s="4" t="s">
        <v>339</v>
      </c>
    </row>
    <row r="15" spans="1:9" ht="40.049999999999997" customHeight="1" x14ac:dyDescent="0.3">
      <c r="A15" s="9" t="s">
        <v>80</v>
      </c>
      <c r="B15" s="9" t="s">
        <v>340</v>
      </c>
      <c r="C15" s="10" t="s">
        <v>341</v>
      </c>
      <c r="D15" s="10" t="s">
        <v>342</v>
      </c>
      <c r="E15" s="9" t="s">
        <v>343</v>
      </c>
      <c r="F15" s="9"/>
      <c r="G15" s="10">
        <v>1741.44</v>
      </c>
      <c r="H15" s="10">
        <v>1736.86</v>
      </c>
      <c r="I15" s="9" t="s">
        <v>344</v>
      </c>
    </row>
    <row r="18" spans="1:9" x14ac:dyDescent="0.3">
      <c r="A18" s="47" t="s">
        <v>345</v>
      </c>
      <c r="B18" s="36"/>
      <c r="C18" s="36"/>
      <c r="D18" s="36"/>
      <c r="E18" s="36"/>
      <c r="F18" s="36"/>
      <c r="G18" s="36"/>
      <c r="H18" s="36"/>
      <c r="I18" s="36"/>
    </row>
    <row r="19" spans="1:9" ht="34.950000000000003" customHeight="1" x14ac:dyDescent="0.3">
      <c r="A19" s="24" t="s">
        <v>346</v>
      </c>
      <c r="B19" s="24" t="s">
        <v>347</v>
      </c>
      <c r="C19" s="24" t="s">
        <v>348</v>
      </c>
      <c r="D19" s="24" t="s">
        <v>349</v>
      </c>
      <c r="E19" s="24" t="s">
        <v>350</v>
      </c>
      <c r="F19" s="24" t="s">
        <v>351</v>
      </c>
      <c r="G19" s="24" t="s">
        <v>352</v>
      </c>
      <c r="H19" s="24" t="s">
        <v>353</v>
      </c>
      <c r="I19" s="24" t="s">
        <v>11</v>
      </c>
    </row>
    <row r="20" spans="1:9" ht="30" customHeight="1" x14ac:dyDescent="0.3">
      <c r="A20" s="11" t="s">
        <v>354</v>
      </c>
      <c r="B20" s="11" t="s">
        <v>355</v>
      </c>
      <c r="C20" s="11" t="s">
        <v>356</v>
      </c>
      <c r="D20" s="12" t="s">
        <v>290</v>
      </c>
      <c r="E20" s="11" t="s">
        <v>357</v>
      </c>
      <c r="F20" s="12">
        <v>500</v>
      </c>
      <c r="G20" s="12">
        <v>500</v>
      </c>
      <c r="H20" s="12">
        <v>500</v>
      </c>
      <c r="I20" s="11" t="s">
        <v>358</v>
      </c>
    </row>
    <row r="21" spans="1:9" ht="30" customHeight="1" x14ac:dyDescent="0.3">
      <c r="A21" s="4" t="s">
        <v>359</v>
      </c>
      <c r="B21" s="4" t="s">
        <v>360</v>
      </c>
      <c r="C21" s="4" t="s">
        <v>361</v>
      </c>
      <c r="D21" s="8" t="s">
        <v>362</v>
      </c>
      <c r="E21" s="4" t="s">
        <v>363</v>
      </c>
      <c r="F21" s="8" t="s">
        <v>43</v>
      </c>
      <c r="G21" s="8" t="s">
        <v>43</v>
      </c>
      <c r="H21" s="8" t="s">
        <v>43</v>
      </c>
      <c r="I21" s="4" t="s">
        <v>364</v>
      </c>
    </row>
    <row r="22" spans="1:9" ht="30" customHeight="1" x14ac:dyDescent="0.3">
      <c r="A22" s="11" t="s">
        <v>365</v>
      </c>
      <c r="B22" s="11" t="s">
        <v>355</v>
      </c>
      <c r="C22" s="11" t="s">
        <v>366</v>
      </c>
      <c r="D22" s="12" t="s">
        <v>367</v>
      </c>
      <c r="E22" s="11" t="s">
        <v>368</v>
      </c>
      <c r="F22" s="12">
        <v>175</v>
      </c>
      <c r="G22" s="12">
        <v>175</v>
      </c>
      <c r="H22" s="12">
        <v>175</v>
      </c>
      <c r="I22" s="11" t="s">
        <v>369</v>
      </c>
    </row>
    <row r="23" spans="1:9" ht="30" customHeight="1" x14ac:dyDescent="0.3">
      <c r="A23" s="4" t="s">
        <v>370</v>
      </c>
      <c r="B23" s="4" t="s">
        <v>371</v>
      </c>
      <c r="C23" s="4" t="s">
        <v>372</v>
      </c>
      <c r="D23" s="8" t="s">
        <v>373</v>
      </c>
      <c r="E23" s="4" t="s">
        <v>368</v>
      </c>
      <c r="F23" s="8" t="s">
        <v>43</v>
      </c>
      <c r="G23" s="8" t="s">
        <v>43</v>
      </c>
      <c r="H23" s="8" t="s">
        <v>43</v>
      </c>
      <c r="I23" s="4" t="s">
        <v>374</v>
      </c>
    </row>
    <row r="24" spans="1:9" ht="30" customHeight="1" x14ac:dyDescent="0.3">
      <c r="A24" s="11" t="s">
        <v>375</v>
      </c>
      <c r="B24" s="11" t="s">
        <v>371</v>
      </c>
      <c r="C24" s="11" t="s">
        <v>376</v>
      </c>
      <c r="D24" s="12" t="s">
        <v>377</v>
      </c>
      <c r="E24" s="11" t="s">
        <v>357</v>
      </c>
      <c r="F24" s="12" t="s">
        <v>43</v>
      </c>
      <c r="G24" s="12" t="s">
        <v>43</v>
      </c>
      <c r="H24" s="12" t="s">
        <v>43</v>
      </c>
      <c r="I24" s="11" t="s">
        <v>378</v>
      </c>
    </row>
    <row r="25" spans="1:9" ht="30" customHeight="1" x14ac:dyDescent="0.3">
      <c r="A25" s="4" t="s">
        <v>379</v>
      </c>
      <c r="B25" s="4" t="s">
        <v>371</v>
      </c>
      <c r="C25" s="4" t="s">
        <v>380</v>
      </c>
      <c r="D25" s="8" t="s">
        <v>381</v>
      </c>
      <c r="E25" s="4" t="s">
        <v>357</v>
      </c>
      <c r="F25" s="8" t="s">
        <v>43</v>
      </c>
      <c r="G25" s="8" t="s">
        <v>43</v>
      </c>
      <c r="H25" s="8" t="s">
        <v>43</v>
      </c>
      <c r="I25" s="4" t="s">
        <v>382</v>
      </c>
    </row>
    <row r="26" spans="1:9" ht="30" customHeight="1" x14ac:dyDescent="0.3">
      <c r="A26" s="11" t="s">
        <v>383</v>
      </c>
      <c r="B26" s="11" t="s">
        <v>371</v>
      </c>
      <c r="C26" s="11" t="s">
        <v>384</v>
      </c>
      <c r="D26" s="12" t="s">
        <v>385</v>
      </c>
      <c r="E26" s="11" t="s">
        <v>357</v>
      </c>
      <c r="F26" s="12">
        <v>60</v>
      </c>
      <c r="G26" s="12">
        <v>60</v>
      </c>
      <c r="H26" s="12">
        <v>60</v>
      </c>
      <c r="I26" s="11" t="s">
        <v>386</v>
      </c>
    </row>
    <row r="27" spans="1:9" ht="30" customHeight="1" x14ac:dyDescent="0.3">
      <c r="A27" s="4" t="s">
        <v>387</v>
      </c>
      <c r="B27" s="4" t="s">
        <v>355</v>
      </c>
      <c r="C27" s="4" t="s">
        <v>380</v>
      </c>
      <c r="D27" s="8" t="s">
        <v>385</v>
      </c>
      <c r="E27" s="4" t="s">
        <v>368</v>
      </c>
      <c r="F27" s="8">
        <v>60</v>
      </c>
      <c r="G27" s="8">
        <v>60</v>
      </c>
      <c r="H27" s="8">
        <v>60</v>
      </c>
      <c r="I27" s="4" t="s">
        <v>388</v>
      </c>
    </row>
    <row r="28" spans="1:9" ht="30" customHeight="1" x14ac:dyDescent="0.3">
      <c r="A28" s="11" t="s">
        <v>389</v>
      </c>
      <c r="B28" s="11" t="s">
        <v>355</v>
      </c>
      <c r="C28" s="11" t="s">
        <v>390</v>
      </c>
      <c r="D28" s="12" t="s">
        <v>391</v>
      </c>
      <c r="E28" s="11" t="s">
        <v>368</v>
      </c>
      <c r="F28" s="12">
        <v>40</v>
      </c>
      <c r="G28" s="12">
        <v>40</v>
      </c>
      <c r="H28" s="12">
        <v>40</v>
      </c>
      <c r="I28" s="11" t="s">
        <v>392</v>
      </c>
    </row>
    <row r="29" spans="1:9" ht="30" customHeight="1" x14ac:dyDescent="0.3">
      <c r="A29" s="4" t="s">
        <v>393</v>
      </c>
      <c r="B29" s="4" t="s">
        <v>355</v>
      </c>
      <c r="C29" s="4" t="s">
        <v>394</v>
      </c>
      <c r="D29" s="8" t="s">
        <v>395</v>
      </c>
      <c r="E29" s="4" t="s">
        <v>396</v>
      </c>
      <c r="F29" s="8">
        <v>50</v>
      </c>
      <c r="G29" s="8">
        <v>50</v>
      </c>
      <c r="H29" s="8">
        <v>50</v>
      </c>
      <c r="I29" s="4" t="s">
        <v>397</v>
      </c>
    </row>
    <row r="30" spans="1:9" ht="30" customHeight="1" x14ac:dyDescent="0.3">
      <c r="A30" s="11" t="s">
        <v>398</v>
      </c>
      <c r="B30" s="11" t="s">
        <v>355</v>
      </c>
      <c r="C30" s="11" t="s">
        <v>399</v>
      </c>
      <c r="D30" s="12" t="s">
        <v>400</v>
      </c>
      <c r="E30" s="11" t="s">
        <v>401</v>
      </c>
      <c r="F30" s="12">
        <v>15</v>
      </c>
      <c r="G30" s="12">
        <v>15</v>
      </c>
      <c r="H30" s="12">
        <v>15</v>
      </c>
      <c r="I30" s="11" t="s">
        <v>402</v>
      </c>
    </row>
    <row r="31" spans="1:9" ht="30" customHeight="1" x14ac:dyDescent="0.3">
      <c r="A31" s="4" t="s">
        <v>403</v>
      </c>
      <c r="B31" s="4" t="s">
        <v>355</v>
      </c>
      <c r="C31" s="4" t="s">
        <v>404</v>
      </c>
      <c r="D31" s="8" t="s">
        <v>405</v>
      </c>
      <c r="E31" s="4" t="s">
        <v>406</v>
      </c>
      <c r="F31" s="8" t="s">
        <v>43</v>
      </c>
      <c r="G31" s="8" t="s">
        <v>43</v>
      </c>
      <c r="H31" s="8" t="s">
        <v>43</v>
      </c>
      <c r="I31" s="4" t="s">
        <v>407</v>
      </c>
    </row>
    <row r="32" spans="1:9" ht="30" customHeight="1" x14ac:dyDescent="0.3">
      <c r="A32" s="11" t="s">
        <v>408</v>
      </c>
      <c r="B32" s="11" t="s">
        <v>355</v>
      </c>
      <c r="C32" s="11" t="s">
        <v>404</v>
      </c>
      <c r="D32" s="12" t="s">
        <v>409</v>
      </c>
      <c r="E32" s="11" t="s">
        <v>406</v>
      </c>
      <c r="F32" s="12" t="s">
        <v>43</v>
      </c>
      <c r="G32" s="12" t="s">
        <v>43</v>
      </c>
      <c r="H32" s="12" t="s">
        <v>43</v>
      </c>
      <c r="I32" s="11" t="s">
        <v>410</v>
      </c>
    </row>
    <row r="33" spans="1:9" ht="30" customHeight="1" x14ac:dyDescent="0.3">
      <c r="A33" s="4" t="s">
        <v>411</v>
      </c>
      <c r="B33" s="4" t="s">
        <v>371</v>
      </c>
      <c r="C33" s="4" t="s">
        <v>399</v>
      </c>
      <c r="D33" s="8" t="s">
        <v>412</v>
      </c>
      <c r="E33" s="4" t="s">
        <v>396</v>
      </c>
      <c r="F33" s="8" t="s">
        <v>43</v>
      </c>
      <c r="G33" s="8" t="s">
        <v>43</v>
      </c>
      <c r="H33" s="8" t="s">
        <v>43</v>
      </c>
      <c r="I33" s="4" t="s">
        <v>413</v>
      </c>
    </row>
    <row r="34" spans="1:9" ht="30" customHeight="1" x14ac:dyDescent="0.3">
      <c r="A34" s="11" t="s">
        <v>414</v>
      </c>
      <c r="B34" s="11" t="s">
        <v>355</v>
      </c>
      <c r="C34" s="11" t="s">
        <v>380</v>
      </c>
      <c r="D34" s="12" t="s">
        <v>409</v>
      </c>
      <c r="E34" s="11" t="s">
        <v>415</v>
      </c>
      <c r="F34" s="12">
        <v>20</v>
      </c>
      <c r="G34" s="12">
        <v>20</v>
      </c>
      <c r="H34" s="12">
        <v>20</v>
      </c>
      <c r="I34" s="11" t="s">
        <v>416</v>
      </c>
    </row>
    <row r="35" spans="1:9" ht="30" customHeight="1" x14ac:dyDescent="0.3">
      <c r="A35" s="4" t="s">
        <v>417</v>
      </c>
      <c r="B35" s="4" t="s">
        <v>355</v>
      </c>
      <c r="C35" s="4" t="s">
        <v>380</v>
      </c>
      <c r="D35" s="8" t="s">
        <v>409</v>
      </c>
      <c r="E35" s="4" t="s">
        <v>415</v>
      </c>
      <c r="F35" s="8">
        <v>20</v>
      </c>
      <c r="G35" s="8">
        <v>20</v>
      </c>
      <c r="H35" s="8">
        <v>20</v>
      </c>
      <c r="I35" s="4" t="s">
        <v>418</v>
      </c>
    </row>
    <row r="36" spans="1:9" ht="30" customHeight="1" x14ac:dyDescent="0.3">
      <c r="A36" s="11" t="s">
        <v>419</v>
      </c>
      <c r="B36" s="11" t="s">
        <v>371</v>
      </c>
      <c r="C36" s="11" t="s">
        <v>390</v>
      </c>
      <c r="D36" s="12" t="s">
        <v>412</v>
      </c>
      <c r="E36" s="11" t="s">
        <v>368</v>
      </c>
      <c r="F36" s="12" t="s">
        <v>43</v>
      </c>
      <c r="G36" s="12" t="s">
        <v>43</v>
      </c>
      <c r="H36" s="12" t="s">
        <v>43</v>
      </c>
      <c r="I36" s="11" t="s">
        <v>420</v>
      </c>
    </row>
    <row r="37" spans="1:9" ht="30" customHeight="1" x14ac:dyDescent="0.3">
      <c r="A37" s="9" t="s">
        <v>421</v>
      </c>
      <c r="B37" s="9"/>
      <c r="C37" s="9"/>
      <c r="D37" s="10" t="s">
        <v>422</v>
      </c>
      <c r="E37" s="9"/>
      <c r="F37" s="10">
        <v>1675.5</v>
      </c>
      <c r="G37" s="10">
        <v>1900.5</v>
      </c>
      <c r="H37" s="10">
        <v>1910.5</v>
      </c>
      <c r="I37" s="9" t="s">
        <v>423</v>
      </c>
    </row>
    <row r="40" spans="1:9" x14ac:dyDescent="0.3">
      <c r="A40" s="47" t="s">
        <v>424</v>
      </c>
      <c r="B40" s="36"/>
      <c r="C40" s="36"/>
      <c r="D40" s="36"/>
      <c r="E40" s="36"/>
      <c r="F40" s="36"/>
      <c r="G40" s="36"/>
      <c r="H40" s="36"/>
      <c r="I40" s="36"/>
    </row>
    <row r="41" spans="1:9" ht="34.950000000000003" customHeight="1" x14ac:dyDescent="0.3">
      <c r="A41" s="24" t="s">
        <v>425</v>
      </c>
      <c r="B41" s="24" t="s">
        <v>426</v>
      </c>
      <c r="C41" s="24" t="s">
        <v>427</v>
      </c>
      <c r="D41" s="24" t="s">
        <v>428</v>
      </c>
      <c r="E41" s="24" t="s">
        <v>429</v>
      </c>
      <c r="F41" s="24" t="s">
        <v>430</v>
      </c>
      <c r="G41" s="24" t="s">
        <v>431</v>
      </c>
      <c r="H41" s="24"/>
      <c r="I41" s="24" t="s">
        <v>11</v>
      </c>
    </row>
    <row r="42" spans="1:9" ht="25.05" customHeight="1" x14ac:dyDescent="0.3">
      <c r="A42" s="11" t="s">
        <v>432</v>
      </c>
      <c r="B42" s="12">
        <v>4500.18</v>
      </c>
      <c r="C42" s="12">
        <v>4412.3999999999996</v>
      </c>
      <c r="D42" s="12">
        <v>4185.7299999999996</v>
      </c>
      <c r="E42" s="12">
        <v>4149.4799999999996</v>
      </c>
      <c r="F42" s="12">
        <v>4050.57</v>
      </c>
      <c r="G42" s="11"/>
      <c r="H42" s="11"/>
      <c r="I42" s="11" t="s">
        <v>433</v>
      </c>
    </row>
    <row r="43" spans="1:9" ht="25.05" customHeight="1" x14ac:dyDescent="0.3">
      <c r="A43" s="4" t="s">
        <v>434</v>
      </c>
      <c r="B43" s="8">
        <v>2901.71</v>
      </c>
      <c r="C43" s="8">
        <v>2786.77</v>
      </c>
      <c r="D43" s="8">
        <v>2696.46</v>
      </c>
      <c r="E43" s="8">
        <v>2686.44</v>
      </c>
      <c r="F43" s="8">
        <v>2636.8</v>
      </c>
      <c r="G43" s="4"/>
      <c r="H43" s="4"/>
      <c r="I43" s="4"/>
    </row>
    <row r="44" spans="1:9" ht="25.05" customHeight="1" x14ac:dyDescent="0.3">
      <c r="A44" s="11" t="s">
        <v>435</v>
      </c>
      <c r="B44" s="12">
        <v>85.47</v>
      </c>
      <c r="C44" s="12">
        <v>86.79</v>
      </c>
      <c r="D44" s="12">
        <v>80.14</v>
      </c>
      <c r="E44" s="12">
        <v>85.02</v>
      </c>
      <c r="F44" s="12">
        <v>83.86</v>
      </c>
      <c r="G44" s="11"/>
      <c r="H44" s="11"/>
      <c r="I44" s="11" t="s">
        <v>436</v>
      </c>
    </row>
    <row r="45" spans="1:9" ht="25.05" customHeight="1" x14ac:dyDescent="0.3">
      <c r="A45" s="4" t="s">
        <v>437</v>
      </c>
      <c r="B45" s="8">
        <v>10018.370000000001</v>
      </c>
      <c r="C45" s="8">
        <v>9966.43</v>
      </c>
      <c r="D45" s="8">
        <v>10426.120000000001</v>
      </c>
      <c r="E45" s="8">
        <v>10036.200000000001</v>
      </c>
      <c r="F45" s="8">
        <v>9944.9599999999991</v>
      </c>
      <c r="G45" s="4"/>
      <c r="H45" s="4"/>
      <c r="I45" s="4" t="s">
        <v>438</v>
      </c>
    </row>
    <row r="46" spans="1:9" ht="25.05" customHeight="1" x14ac:dyDescent="0.3">
      <c r="A46" s="9" t="s">
        <v>439</v>
      </c>
      <c r="B46" s="10">
        <v>17505.73</v>
      </c>
      <c r="C46" s="10">
        <v>17252.39</v>
      </c>
      <c r="D46" s="10">
        <v>17388.439999999999</v>
      </c>
      <c r="E46" s="10">
        <v>16957.14</v>
      </c>
      <c r="F46" s="10">
        <v>16716.189999999999</v>
      </c>
      <c r="G46" s="9"/>
      <c r="H46" s="9"/>
      <c r="I46" s="9"/>
    </row>
    <row r="47" spans="1:9" ht="25.05" customHeight="1" x14ac:dyDescent="0.3">
      <c r="A47" s="9" t="s">
        <v>440</v>
      </c>
      <c r="B47" s="10" t="s">
        <v>441</v>
      </c>
      <c r="C47" s="10" t="s">
        <v>442</v>
      </c>
      <c r="D47" s="10" t="s">
        <v>443</v>
      </c>
      <c r="E47" s="10" t="s">
        <v>444</v>
      </c>
      <c r="F47" s="10" t="s">
        <v>445</v>
      </c>
      <c r="G47" s="9"/>
      <c r="H47" s="9"/>
      <c r="I47" s="9" t="s">
        <v>446</v>
      </c>
    </row>
  </sheetData>
  <mergeCells count="5">
    <mergeCell ref="A2:I2"/>
    <mergeCell ref="A1:I1"/>
    <mergeCell ref="A40:I40"/>
    <mergeCell ref="A18:I18"/>
    <mergeCell ref="A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E342E"/>
  </sheetPr>
  <dimension ref="A1:J16"/>
  <sheetViews>
    <sheetView workbookViewId="0">
      <pane ySplit="3" topLeftCell="A4" activePane="bottomLeft" state="frozen"/>
      <selection pane="bottomLeft" sqref="A1:I1"/>
    </sheetView>
  </sheetViews>
  <sheetFormatPr baseColWidth="10" defaultColWidth="8.88671875" defaultRowHeight="14.4" x14ac:dyDescent="0.3"/>
  <cols>
    <col min="1" max="1" width="38" customWidth="1"/>
    <col min="2" max="3" width="28" customWidth="1"/>
    <col min="4" max="4" width="13" customWidth="1"/>
    <col min="5" max="5" width="28" customWidth="1"/>
    <col min="6" max="6" width="22" customWidth="1"/>
    <col min="7" max="7" width="55" customWidth="1"/>
    <col min="8" max="8" width="16" customWidth="1"/>
    <col min="9" max="9" width="20" customWidth="1"/>
    <col min="10" max="10" width="45" customWidth="1"/>
  </cols>
  <sheetData>
    <row r="1" spans="1:10" ht="30" customHeight="1" x14ac:dyDescent="0.3">
      <c r="A1" s="48" t="s">
        <v>447</v>
      </c>
      <c r="B1" s="36"/>
      <c r="C1" s="36"/>
      <c r="D1" s="36"/>
      <c r="E1" s="36"/>
      <c r="F1" s="36"/>
      <c r="G1" s="36"/>
      <c r="H1" s="36"/>
      <c r="I1" s="36"/>
    </row>
    <row r="2" spans="1:10" ht="19.95" customHeight="1" x14ac:dyDescent="0.3">
      <c r="A2" s="40" t="s">
        <v>242</v>
      </c>
      <c r="B2" s="36"/>
      <c r="C2" s="36"/>
      <c r="D2" s="36"/>
      <c r="E2" s="36"/>
      <c r="F2" s="36"/>
      <c r="G2" s="36"/>
      <c r="H2" s="36"/>
      <c r="I2" s="36"/>
    </row>
    <row r="3" spans="1:10" ht="40.049999999999997" customHeight="1" x14ac:dyDescent="0.3">
      <c r="A3" s="25" t="s">
        <v>136</v>
      </c>
      <c r="B3" s="25" t="s">
        <v>448</v>
      </c>
      <c r="C3" s="25" t="s">
        <v>449</v>
      </c>
      <c r="D3" s="25" t="s">
        <v>142</v>
      </c>
      <c r="E3" s="25" t="s">
        <v>243</v>
      </c>
      <c r="F3" s="25" t="s">
        <v>450</v>
      </c>
      <c r="G3" s="25" t="s">
        <v>244</v>
      </c>
      <c r="H3" s="25" t="s">
        <v>245</v>
      </c>
      <c r="I3" s="25" t="s">
        <v>10</v>
      </c>
      <c r="J3" s="25" t="s">
        <v>246</v>
      </c>
    </row>
    <row r="4" spans="1:10" ht="60" customHeight="1" x14ac:dyDescent="0.3">
      <c r="A4" s="26" t="s">
        <v>451</v>
      </c>
      <c r="B4" s="26" t="s">
        <v>452</v>
      </c>
      <c r="C4" s="26" t="s">
        <v>453</v>
      </c>
      <c r="D4" s="27" t="s">
        <v>152</v>
      </c>
      <c r="E4" s="26" t="s">
        <v>454</v>
      </c>
      <c r="F4" s="26" t="s">
        <v>455</v>
      </c>
      <c r="G4" s="26" t="s">
        <v>456</v>
      </c>
      <c r="H4" s="27" t="s">
        <v>457</v>
      </c>
      <c r="I4" s="27" t="s">
        <v>458</v>
      </c>
      <c r="J4" s="26" t="s">
        <v>254</v>
      </c>
    </row>
    <row r="5" spans="1:10" ht="60" customHeight="1" x14ac:dyDescent="0.3">
      <c r="A5" s="4" t="s">
        <v>459</v>
      </c>
      <c r="B5" s="4" t="s">
        <v>460</v>
      </c>
      <c r="C5" s="4" t="s">
        <v>461</v>
      </c>
      <c r="D5" s="5" t="s">
        <v>189</v>
      </c>
      <c r="E5" s="4" t="s">
        <v>462</v>
      </c>
      <c r="F5" s="4" t="s">
        <v>463</v>
      </c>
      <c r="G5" s="4" t="s">
        <v>464</v>
      </c>
      <c r="H5" s="5" t="s">
        <v>465</v>
      </c>
      <c r="I5" s="5" t="s">
        <v>466</v>
      </c>
      <c r="J5" s="4" t="s">
        <v>1</v>
      </c>
    </row>
    <row r="6" spans="1:10" ht="60" customHeight="1" x14ac:dyDescent="0.3">
      <c r="A6" s="26" t="s">
        <v>467</v>
      </c>
      <c r="B6" s="26" t="s">
        <v>468</v>
      </c>
      <c r="C6" s="26" t="s">
        <v>469</v>
      </c>
      <c r="D6" s="27" t="s">
        <v>189</v>
      </c>
      <c r="E6" s="26" t="s">
        <v>470</v>
      </c>
      <c r="F6" s="26" t="s">
        <v>471</v>
      </c>
      <c r="G6" s="26" t="s">
        <v>472</v>
      </c>
      <c r="H6" s="27" t="s">
        <v>473</v>
      </c>
      <c r="I6" s="27" t="s">
        <v>474</v>
      </c>
      <c r="J6" s="26" t="s">
        <v>1</v>
      </c>
    </row>
    <row r="7" spans="1:10" ht="60" customHeight="1" x14ac:dyDescent="0.3">
      <c r="A7" s="4" t="s">
        <v>475</v>
      </c>
      <c r="B7" s="4" t="s">
        <v>476</v>
      </c>
      <c r="C7" s="4" t="s">
        <v>477</v>
      </c>
      <c r="D7" s="5" t="s">
        <v>215</v>
      </c>
      <c r="E7" s="4" t="s">
        <v>478</v>
      </c>
      <c r="F7" s="4" t="s">
        <v>479</v>
      </c>
      <c r="G7" s="4" t="s">
        <v>480</v>
      </c>
      <c r="H7" s="5" t="s">
        <v>481</v>
      </c>
      <c r="I7" s="5" t="s">
        <v>253</v>
      </c>
      <c r="J7" s="4" t="s">
        <v>269</v>
      </c>
    </row>
    <row r="8" spans="1:10" ht="60" customHeight="1" x14ac:dyDescent="0.3">
      <c r="A8" s="26" t="s">
        <v>482</v>
      </c>
      <c r="B8" s="26" t="s">
        <v>483</v>
      </c>
      <c r="C8" s="26" t="s">
        <v>484</v>
      </c>
      <c r="D8" s="27" t="s">
        <v>215</v>
      </c>
      <c r="E8" s="26" t="s">
        <v>485</v>
      </c>
      <c r="F8" s="26" t="s">
        <v>486</v>
      </c>
      <c r="G8" s="26" t="s">
        <v>487</v>
      </c>
      <c r="H8" s="27" t="s">
        <v>481</v>
      </c>
      <c r="I8" s="27" t="s">
        <v>253</v>
      </c>
      <c r="J8" s="26" t="s">
        <v>269</v>
      </c>
    </row>
    <row r="9" spans="1:10" ht="60" customHeight="1" x14ac:dyDescent="0.3">
      <c r="A9" s="4" t="s">
        <v>488</v>
      </c>
      <c r="B9" s="4" t="s">
        <v>489</v>
      </c>
      <c r="C9" s="4" t="s">
        <v>490</v>
      </c>
      <c r="D9" s="5" t="s">
        <v>215</v>
      </c>
      <c r="E9" s="4" t="s">
        <v>491</v>
      </c>
      <c r="F9" s="4" t="s">
        <v>492</v>
      </c>
      <c r="G9" s="4" t="s">
        <v>493</v>
      </c>
      <c r="H9" s="5" t="s">
        <v>457</v>
      </c>
      <c r="I9" s="5" t="s">
        <v>253</v>
      </c>
      <c r="J9" s="4" t="s">
        <v>269</v>
      </c>
    </row>
    <row r="10" spans="1:10" ht="60" customHeight="1" x14ac:dyDescent="0.3">
      <c r="A10" s="26" t="s">
        <v>494</v>
      </c>
      <c r="B10" s="26" t="s">
        <v>175</v>
      </c>
      <c r="C10" s="26" t="s">
        <v>495</v>
      </c>
      <c r="D10" s="27" t="s">
        <v>152</v>
      </c>
      <c r="E10" s="26" t="s">
        <v>496</v>
      </c>
      <c r="F10" s="26" t="s">
        <v>497</v>
      </c>
      <c r="G10" s="26" t="s">
        <v>498</v>
      </c>
      <c r="H10" s="27" t="s">
        <v>499</v>
      </c>
      <c r="I10" s="27" t="s">
        <v>500</v>
      </c>
      <c r="J10" s="26" t="s">
        <v>254</v>
      </c>
    </row>
    <row r="11" spans="1:10" ht="60" customHeight="1" x14ac:dyDescent="0.3">
      <c r="A11" s="4" t="s">
        <v>501</v>
      </c>
      <c r="B11" s="4" t="s">
        <v>202</v>
      </c>
      <c r="C11" s="4" t="s">
        <v>502</v>
      </c>
      <c r="D11" s="5" t="s">
        <v>503</v>
      </c>
      <c r="E11" s="4" t="s">
        <v>504</v>
      </c>
      <c r="F11" s="4" t="s">
        <v>505</v>
      </c>
      <c r="G11" s="4" t="s">
        <v>506</v>
      </c>
      <c r="H11" s="5" t="s">
        <v>465</v>
      </c>
      <c r="I11" s="5" t="s">
        <v>293</v>
      </c>
      <c r="J11" s="4" t="s">
        <v>1</v>
      </c>
    </row>
    <row r="12" spans="1:10" ht="60" customHeight="1" x14ac:dyDescent="0.3">
      <c r="A12" s="26" t="s">
        <v>507</v>
      </c>
      <c r="B12" s="26" t="s">
        <v>40</v>
      </c>
      <c r="C12" s="26" t="s">
        <v>40</v>
      </c>
      <c r="D12" s="27" t="s">
        <v>508</v>
      </c>
      <c r="E12" s="26" t="s">
        <v>509</v>
      </c>
      <c r="F12" s="26" t="s">
        <v>510</v>
      </c>
      <c r="G12" s="26" t="s">
        <v>511</v>
      </c>
      <c r="H12" s="27" t="s">
        <v>512</v>
      </c>
      <c r="I12" s="27" t="s">
        <v>513</v>
      </c>
      <c r="J12" s="26" t="s">
        <v>1</v>
      </c>
    </row>
    <row r="13" spans="1:10" ht="60" customHeight="1" x14ac:dyDescent="0.3">
      <c r="A13" s="4" t="s">
        <v>514</v>
      </c>
      <c r="B13" s="4" t="s">
        <v>515</v>
      </c>
      <c r="C13" s="4" t="s">
        <v>40</v>
      </c>
      <c r="D13" s="5" t="s">
        <v>516</v>
      </c>
      <c r="E13" s="4" t="s">
        <v>517</v>
      </c>
      <c r="F13" s="4" t="s">
        <v>518</v>
      </c>
      <c r="G13" s="4" t="s">
        <v>519</v>
      </c>
      <c r="H13" s="5" t="s">
        <v>499</v>
      </c>
      <c r="I13" s="5" t="s">
        <v>520</v>
      </c>
      <c r="J13" s="4" t="s">
        <v>1</v>
      </c>
    </row>
    <row r="14" spans="1:10" ht="60" customHeight="1" x14ac:dyDescent="0.3">
      <c r="A14" s="26" t="s">
        <v>521</v>
      </c>
      <c r="B14" s="26" t="s">
        <v>522</v>
      </c>
      <c r="C14" s="26" t="s">
        <v>522</v>
      </c>
      <c r="D14" s="27" t="s">
        <v>523</v>
      </c>
      <c r="E14" s="26" t="s">
        <v>524</v>
      </c>
      <c r="F14" s="26" t="s">
        <v>525</v>
      </c>
      <c r="G14" s="26" t="s">
        <v>526</v>
      </c>
      <c r="H14" s="27" t="s">
        <v>481</v>
      </c>
      <c r="I14" s="27" t="s">
        <v>527</v>
      </c>
      <c r="J14" s="26" t="s">
        <v>1</v>
      </c>
    </row>
    <row r="16" spans="1:10" x14ac:dyDescent="0.3">
      <c r="A16" s="43" t="s">
        <v>528</v>
      </c>
      <c r="B16" s="36"/>
      <c r="C16" s="36"/>
      <c r="D16" s="36"/>
      <c r="E16" s="36"/>
      <c r="F16" s="36"/>
      <c r="G16" s="36"/>
      <c r="H16" s="36"/>
      <c r="I16" s="36"/>
      <c r="J16" s="36"/>
    </row>
  </sheetData>
  <mergeCells count="3">
    <mergeCell ref="A1:I1"/>
    <mergeCell ref="A2:I2"/>
    <mergeCell ref="A16:J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B241C"/>
  </sheetPr>
  <dimension ref="A1:I17"/>
  <sheetViews>
    <sheetView workbookViewId="0">
      <pane ySplit="3" topLeftCell="A4" activePane="bottomLeft" state="frozen"/>
      <selection pane="bottomLeft" sqref="A1:I1"/>
    </sheetView>
  </sheetViews>
  <sheetFormatPr baseColWidth="10" defaultColWidth="8.88671875" defaultRowHeight="14.4" x14ac:dyDescent="0.3"/>
  <cols>
    <col min="1" max="1" width="42" customWidth="1"/>
    <col min="2" max="2" width="28" customWidth="1"/>
    <col min="3" max="3" width="12" customWidth="1"/>
    <col min="4" max="4" width="14" customWidth="1"/>
    <col min="5" max="5" width="25" customWidth="1"/>
    <col min="6" max="6" width="38" customWidth="1"/>
    <col min="7" max="7" width="22" customWidth="1"/>
    <col min="8" max="8" width="16" customWidth="1"/>
    <col min="9" max="9" width="55" customWidth="1"/>
  </cols>
  <sheetData>
    <row r="1" spans="1:9" ht="30" customHeight="1" x14ac:dyDescent="0.3">
      <c r="A1" s="49" t="s">
        <v>529</v>
      </c>
      <c r="B1" s="36"/>
      <c r="C1" s="36"/>
      <c r="D1" s="36"/>
      <c r="E1" s="36"/>
      <c r="F1" s="36"/>
      <c r="G1" s="36"/>
      <c r="H1" s="36"/>
      <c r="I1" s="36"/>
    </row>
    <row r="2" spans="1:9" ht="19.95" customHeight="1" x14ac:dyDescent="0.3">
      <c r="A2" s="40" t="s">
        <v>530</v>
      </c>
      <c r="B2" s="36"/>
      <c r="C2" s="36"/>
      <c r="D2" s="36"/>
      <c r="E2" s="36"/>
      <c r="F2" s="36"/>
      <c r="G2" s="36"/>
      <c r="H2" s="36"/>
      <c r="I2" s="36"/>
    </row>
    <row r="3" spans="1:9" ht="40.049999999999997" customHeight="1" x14ac:dyDescent="0.3">
      <c r="A3" s="28" t="s">
        <v>531</v>
      </c>
      <c r="B3" s="28" t="s">
        <v>532</v>
      </c>
      <c r="C3" s="28" t="s">
        <v>4</v>
      </c>
      <c r="D3" s="28" t="s">
        <v>141</v>
      </c>
      <c r="E3" s="28" t="s">
        <v>9</v>
      </c>
      <c r="F3" s="28" t="s">
        <v>533</v>
      </c>
      <c r="G3" s="28" t="s">
        <v>10</v>
      </c>
      <c r="H3" s="28" t="s">
        <v>245</v>
      </c>
      <c r="I3" s="28" t="s">
        <v>534</v>
      </c>
    </row>
    <row r="4" spans="1:9" ht="60" customHeight="1" x14ac:dyDescent="0.3">
      <c r="A4" s="18" t="s">
        <v>535</v>
      </c>
      <c r="B4" s="18" t="s">
        <v>536</v>
      </c>
      <c r="C4" s="19" t="s">
        <v>14</v>
      </c>
      <c r="D4" s="29">
        <v>1020</v>
      </c>
      <c r="E4" s="18" t="s">
        <v>537</v>
      </c>
      <c r="F4" s="18" t="s">
        <v>538</v>
      </c>
      <c r="G4" s="19" t="s">
        <v>539</v>
      </c>
      <c r="H4" s="19" t="s">
        <v>540</v>
      </c>
      <c r="I4" s="18" t="s">
        <v>541</v>
      </c>
    </row>
    <row r="5" spans="1:9" ht="60" customHeight="1" x14ac:dyDescent="0.3">
      <c r="A5" s="4" t="s">
        <v>542</v>
      </c>
      <c r="B5" s="4" t="s">
        <v>543</v>
      </c>
      <c r="C5" s="5" t="s">
        <v>14</v>
      </c>
      <c r="D5" s="8">
        <v>600</v>
      </c>
      <c r="E5" s="4" t="s">
        <v>17</v>
      </c>
      <c r="F5" s="4" t="s">
        <v>544</v>
      </c>
      <c r="G5" s="5" t="s">
        <v>474</v>
      </c>
      <c r="H5" s="5" t="s">
        <v>545</v>
      </c>
      <c r="I5" s="4" t="s">
        <v>546</v>
      </c>
    </row>
    <row r="6" spans="1:9" ht="60" customHeight="1" x14ac:dyDescent="0.3">
      <c r="A6" s="18" t="s">
        <v>547</v>
      </c>
      <c r="B6" s="18" t="s">
        <v>548</v>
      </c>
      <c r="C6" s="19" t="s">
        <v>14</v>
      </c>
      <c r="D6" s="29">
        <v>2400</v>
      </c>
      <c r="E6" s="18" t="s">
        <v>549</v>
      </c>
      <c r="F6" s="18" t="s">
        <v>550</v>
      </c>
      <c r="G6" s="19" t="s">
        <v>551</v>
      </c>
      <c r="H6" s="19" t="s">
        <v>260</v>
      </c>
      <c r="I6" s="18" t="s">
        <v>552</v>
      </c>
    </row>
    <row r="7" spans="1:9" ht="60" customHeight="1" x14ac:dyDescent="0.3">
      <c r="A7" s="4" t="s">
        <v>553</v>
      </c>
      <c r="B7" s="4" t="s">
        <v>554</v>
      </c>
      <c r="C7" s="5" t="s">
        <v>14</v>
      </c>
      <c r="D7" s="8">
        <v>670</v>
      </c>
      <c r="E7" s="4" t="s">
        <v>17</v>
      </c>
      <c r="F7" s="4" t="s">
        <v>555</v>
      </c>
      <c r="G7" s="5" t="s">
        <v>556</v>
      </c>
      <c r="H7" s="5" t="s">
        <v>557</v>
      </c>
      <c r="I7" s="4" t="s">
        <v>558</v>
      </c>
    </row>
    <row r="8" spans="1:9" ht="60" customHeight="1" x14ac:dyDescent="0.3">
      <c r="A8" s="18" t="s">
        <v>559</v>
      </c>
      <c r="B8" s="18" t="s">
        <v>560</v>
      </c>
      <c r="C8" s="19" t="s">
        <v>14</v>
      </c>
      <c r="D8" s="29">
        <v>1125</v>
      </c>
      <c r="E8" s="18" t="s">
        <v>17</v>
      </c>
      <c r="F8" s="18" t="s">
        <v>561</v>
      </c>
      <c r="G8" s="19" t="s">
        <v>562</v>
      </c>
      <c r="H8" s="19" t="s">
        <v>260</v>
      </c>
      <c r="I8" s="18" t="s">
        <v>563</v>
      </c>
    </row>
    <row r="9" spans="1:9" ht="60" customHeight="1" x14ac:dyDescent="0.3">
      <c r="A9" s="4" t="s">
        <v>564</v>
      </c>
      <c r="B9" s="4" t="s">
        <v>565</v>
      </c>
      <c r="C9" s="5" t="s">
        <v>14</v>
      </c>
      <c r="D9" s="8">
        <v>118</v>
      </c>
      <c r="E9" s="4" t="s">
        <v>17</v>
      </c>
      <c r="F9" s="4" t="s">
        <v>566</v>
      </c>
      <c r="G9" s="5" t="s">
        <v>567</v>
      </c>
      <c r="H9" s="5" t="s">
        <v>499</v>
      </c>
      <c r="I9" s="4" t="s">
        <v>568</v>
      </c>
    </row>
    <row r="10" spans="1:9" ht="60" customHeight="1" x14ac:dyDescent="0.3">
      <c r="A10" s="18" t="s">
        <v>569</v>
      </c>
      <c r="B10" s="18" t="s">
        <v>570</v>
      </c>
      <c r="C10" s="19" t="s">
        <v>47</v>
      </c>
      <c r="D10" s="29" t="s">
        <v>571</v>
      </c>
      <c r="E10" s="18" t="s">
        <v>572</v>
      </c>
      <c r="F10" s="18" t="s">
        <v>573</v>
      </c>
      <c r="G10" s="19" t="s">
        <v>574</v>
      </c>
      <c r="H10" s="19" t="s">
        <v>457</v>
      </c>
      <c r="I10" s="18" t="s">
        <v>575</v>
      </c>
    </row>
    <row r="11" spans="1:9" ht="60" customHeight="1" x14ac:dyDescent="0.3">
      <c r="A11" s="4" t="s">
        <v>576</v>
      </c>
      <c r="B11" s="4" t="s">
        <v>577</v>
      </c>
      <c r="C11" s="5" t="s">
        <v>47</v>
      </c>
      <c r="D11" s="8" t="s">
        <v>282</v>
      </c>
      <c r="E11" s="4" t="s">
        <v>48</v>
      </c>
      <c r="F11" s="4" t="s">
        <v>566</v>
      </c>
      <c r="G11" s="5" t="s">
        <v>268</v>
      </c>
      <c r="H11" s="5" t="s">
        <v>578</v>
      </c>
      <c r="I11" s="4" t="s">
        <v>579</v>
      </c>
    </row>
    <row r="12" spans="1:9" ht="60" customHeight="1" x14ac:dyDescent="0.3">
      <c r="A12" s="18" t="s">
        <v>580</v>
      </c>
      <c r="B12" s="18" t="s">
        <v>40</v>
      </c>
      <c r="C12" s="19" t="s">
        <v>47</v>
      </c>
      <c r="D12" s="29" t="s">
        <v>581</v>
      </c>
      <c r="E12" s="18" t="s">
        <v>582</v>
      </c>
      <c r="F12" s="18" t="s">
        <v>583</v>
      </c>
      <c r="G12" s="19" t="s">
        <v>584</v>
      </c>
      <c r="H12" s="19" t="s">
        <v>585</v>
      </c>
      <c r="I12" s="18" t="s">
        <v>586</v>
      </c>
    </row>
    <row r="13" spans="1:9" ht="60" customHeight="1" x14ac:dyDescent="0.3">
      <c r="A13" s="4" t="s">
        <v>587</v>
      </c>
      <c r="B13" s="4" t="s">
        <v>515</v>
      </c>
      <c r="C13" s="5" t="s">
        <v>14</v>
      </c>
      <c r="D13" s="8" t="s">
        <v>588</v>
      </c>
      <c r="E13" s="4" t="s">
        <v>44</v>
      </c>
      <c r="F13" s="4" t="s">
        <v>589</v>
      </c>
      <c r="G13" s="5" t="s">
        <v>590</v>
      </c>
      <c r="H13" s="5" t="s">
        <v>527</v>
      </c>
      <c r="I13" s="4" t="s">
        <v>591</v>
      </c>
    </row>
    <row r="14" spans="1:9" ht="60" customHeight="1" x14ac:dyDescent="0.3">
      <c r="A14" s="18" t="s">
        <v>592</v>
      </c>
      <c r="B14" s="18" t="s">
        <v>593</v>
      </c>
      <c r="C14" s="19" t="s">
        <v>14</v>
      </c>
      <c r="D14" s="29">
        <v>2585</v>
      </c>
      <c r="E14" s="18" t="s">
        <v>549</v>
      </c>
      <c r="F14" s="18" t="s">
        <v>594</v>
      </c>
      <c r="G14" s="19" t="s">
        <v>595</v>
      </c>
      <c r="H14" s="19" t="s">
        <v>596</v>
      </c>
      <c r="I14" s="18" t="s">
        <v>597</v>
      </c>
    </row>
    <row r="15" spans="1:9" ht="60" customHeight="1" x14ac:dyDescent="0.3">
      <c r="A15" s="4" t="s">
        <v>598</v>
      </c>
      <c r="B15" s="4" t="s">
        <v>599</v>
      </c>
      <c r="C15" s="5" t="s">
        <v>14</v>
      </c>
      <c r="D15" s="8">
        <v>620</v>
      </c>
      <c r="E15" s="4" t="s">
        <v>600</v>
      </c>
      <c r="F15" s="4" t="s">
        <v>601</v>
      </c>
      <c r="G15" s="5" t="s">
        <v>595</v>
      </c>
      <c r="H15" s="5" t="s">
        <v>260</v>
      </c>
      <c r="I15" s="4" t="s">
        <v>602</v>
      </c>
    </row>
    <row r="16" spans="1:9" ht="25.05" customHeight="1" x14ac:dyDescent="0.3">
      <c r="A16" s="50" t="s">
        <v>603</v>
      </c>
      <c r="B16" s="36"/>
      <c r="C16" s="36"/>
      <c r="D16" s="10" t="s">
        <v>604</v>
      </c>
      <c r="E16" s="30"/>
      <c r="F16" s="30"/>
      <c r="G16" s="30"/>
      <c r="H16" s="30"/>
      <c r="I16" s="30"/>
    </row>
    <row r="17" spans="1:9" ht="25.05" customHeight="1" x14ac:dyDescent="0.3">
      <c r="A17" s="43" t="s">
        <v>605</v>
      </c>
      <c r="B17" s="36"/>
      <c r="C17" s="36"/>
      <c r="D17" s="36"/>
      <c r="E17" s="36"/>
      <c r="F17" s="36"/>
      <c r="G17" s="36"/>
      <c r="H17" s="36"/>
      <c r="I17" s="36"/>
    </row>
  </sheetData>
  <mergeCells count="4">
    <mergeCell ref="A1:I1"/>
    <mergeCell ref="A16:C16"/>
    <mergeCell ref="A2:I2"/>
    <mergeCell ref="A17:I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C3E50"/>
  </sheetPr>
  <dimension ref="A1:F109"/>
  <sheetViews>
    <sheetView workbookViewId="0">
      <pane ySplit="4" topLeftCell="A5" activePane="bottomLeft" state="frozen"/>
      <selection pane="bottomLeft" sqref="A1:F1"/>
    </sheetView>
  </sheetViews>
  <sheetFormatPr baseColWidth="10" defaultColWidth="8.88671875" defaultRowHeight="14.4" x14ac:dyDescent="0.3"/>
  <cols>
    <col min="1" max="2" width="38" customWidth="1"/>
    <col min="3" max="4" width="20" customWidth="1"/>
    <col min="5" max="6" width="45" customWidth="1"/>
  </cols>
  <sheetData>
    <row r="1" spans="1:6" ht="30" customHeight="1" x14ac:dyDescent="0.3">
      <c r="A1" s="52" t="s">
        <v>606</v>
      </c>
      <c r="B1" s="36"/>
      <c r="C1" s="36"/>
      <c r="D1" s="36"/>
      <c r="E1" s="36"/>
      <c r="F1" s="36"/>
    </row>
    <row r="2" spans="1:6" ht="19.95" customHeight="1" x14ac:dyDescent="0.3">
      <c r="A2" s="40" t="s">
        <v>607</v>
      </c>
      <c r="B2" s="36"/>
      <c r="C2" s="36"/>
      <c r="D2" s="36"/>
      <c r="E2" s="36"/>
      <c r="F2" s="36"/>
    </row>
    <row r="3" spans="1:6" x14ac:dyDescent="0.3">
      <c r="A3" s="51" t="s">
        <v>608</v>
      </c>
      <c r="B3" s="38"/>
      <c r="C3" s="38"/>
      <c r="D3" s="38"/>
      <c r="E3" s="38"/>
      <c r="F3" s="39"/>
    </row>
    <row r="4" spans="1:6" ht="34.950000000000003" customHeight="1" x14ac:dyDescent="0.3">
      <c r="A4" s="31" t="s">
        <v>609</v>
      </c>
      <c r="B4" s="31" t="s">
        <v>610</v>
      </c>
      <c r="C4" s="31" t="s">
        <v>611</v>
      </c>
      <c r="D4" s="31" t="s">
        <v>612</v>
      </c>
      <c r="E4" s="31" t="s">
        <v>11</v>
      </c>
      <c r="F4" s="31" t="s">
        <v>246</v>
      </c>
    </row>
    <row r="5" spans="1:6" ht="28.05" customHeight="1" x14ac:dyDescent="0.3">
      <c r="A5" s="32" t="s">
        <v>613</v>
      </c>
      <c r="B5" s="32" t="s">
        <v>614</v>
      </c>
      <c r="C5" s="32" t="s">
        <v>615</v>
      </c>
      <c r="D5" s="32" t="s">
        <v>615</v>
      </c>
      <c r="E5" s="32" t="s">
        <v>616</v>
      </c>
      <c r="F5" s="32" t="s">
        <v>617</v>
      </c>
    </row>
    <row r="6" spans="1:6" ht="28.05" customHeight="1" x14ac:dyDescent="0.3">
      <c r="A6" s="4" t="s">
        <v>618</v>
      </c>
      <c r="B6" s="4" t="s">
        <v>619</v>
      </c>
      <c r="C6" s="4" t="s">
        <v>615</v>
      </c>
      <c r="D6" s="4" t="s">
        <v>615</v>
      </c>
      <c r="E6" s="4" t="s">
        <v>620</v>
      </c>
      <c r="F6" s="4" t="s">
        <v>617</v>
      </c>
    </row>
    <row r="7" spans="1:6" ht="28.05" customHeight="1" x14ac:dyDescent="0.3">
      <c r="A7" s="32" t="s">
        <v>621</v>
      </c>
      <c r="B7" s="32" t="s">
        <v>622</v>
      </c>
      <c r="C7" s="32" t="s">
        <v>623</v>
      </c>
      <c r="D7" s="32" t="s">
        <v>623</v>
      </c>
      <c r="E7" s="32" t="s">
        <v>624</v>
      </c>
      <c r="F7" s="32" t="s">
        <v>617</v>
      </c>
    </row>
    <row r="8" spans="1:6" ht="28.05" customHeight="1" x14ac:dyDescent="0.3">
      <c r="A8" s="4" t="s">
        <v>625</v>
      </c>
      <c r="B8" s="4" t="s">
        <v>622</v>
      </c>
      <c r="C8" s="4" t="s">
        <v>626</v>
      </c>
      <c r="D8" s="4" t="s">
        <v>627</v>
      </c>
      <c r="E8" s="4" t="s">
        <v>628</v>
      </c>
      <c r="F8" s="4" t="s">
        <v>617</v>
      </c>
    </row>
    <row r="9" spans="1:6" ht="28.05" customHeight="1" x14ac:dyDescent="0.3">
      <c r="A9" s="32" t="s">
        <v>629</v>
      </c>
      <c r="B9" s="32" t="s">
        <v>622</v>
      </c>
      <c r="C9" s="32" t="s">
        <v>626</v>
      </c>
      <c r="D9" s="32" t="s">
        <v>630</v>
      </c>
      <c r="E9" s="32" t="s">
        <v>631</v>
      </c>
      <c r="F9" s="32" t="s">
        <v>617</v>
      </c>
    </row>
    <row r="10" spans="1:6" ht="28.05" customHeight="1" x14ac:dyDescent="0.3">
      <c r="A10" s="4" t="s">
        <v>632</v>
      </c>
      <c r="B10" s="4" t="s">
        <v>622</v>
      </c>
      <c r="C10" s="4" t="s">
        <v>626</v>
      </c>
      <c r="D10" s="4" t="s">
        <v>633</v>
      </c>
      <c r="E10" s="4" t="s">
        <v>634</v>
      </c>
      <c r="F10" s="4" t="s">
        <v>617</v>
      </c>
    </row>
    <row r="11" spans="1:6" ht="28.05" customHeight="1" x14ac:dyDescent="0.3">
      <c r="A11" s="32" t="s">
        <v>635</v>
      </c>
      <c r="B11" s="32" t="s">
        <v>636</v>
      </c>
      <c r="C11" s="32" t="s">
        <v>637</v>
      </c>
      <c r="D11" s="32" t="s">
        <v>638</v>
      </c>
      <c r="E11" s="32" t="s">
        <v>639</v>
      </c>
      <c r="F11" s="32" t="s">
        <v>617</v>
      </c>
    </row>
    <row r="12" spans="1:6" ht="28.05" customHeight="1" x14ac:dyDescent="0.3">
      <c r="A12" s="4" t="s">
        <v>640</v>
      </c>
      <c r="B12" s="4" t="s">
        <v>636</v>
      </c>
      <c r="C12" s="4" t="s">
        <v>641</v>
      </c>
      <c r="D12" s="4" t="s">
        <v>642</v>
      </c>
      <c r="E12" s="4" t="s">
        <v>643</v>
      </c>
      <c r="F12" s="4" t="s">
        <v>617</v>
      </c>
    </row>
    <row r="13" spans="1:6" ht="28.05" customHeight="1" x14ac:dyDescent="0.3">
      <c r="A13" s="32" t="s">
        <v>644</v>
      </c>
      <c r="B13" s="32" t="s">
        <v>645</v>
      </c>
      <c r="C13" s="32" t="s">
        <v>626</v>
      </c>
      <c r="D13" s="32" t="s">
        <v>646</v>
      </c>
      <c r="E13" s="32"/>
      <c r="F13" s="32" t="s">
        <v>647</v>
      </c>
    </row>
    <row r="14" spans="1:6" ht="28.05" customHeight="1" x14ac:dyDescent="0.3">
      <c r="A14" s="4" t="s">
        <v>648</v>
      </c>
      <c r="B14" s="4" t="s">
        <v>645</v>
      </c>
      <c r="C14" s="4" t="s">
        <v>626</v>
      </c>
      <c r="D14" s="4" t="s">
        <v>649</v>
      </c>
      <c r="E14" s="4" t="s">
        <v>650</v>
      </c>
      <c r="F14" s="4" t="s">
        <v>647</v>
      </c>
    </row>
    <row r="15" spans="1:6" ht="28.05" customHeight="1" x14ac:dyDescent="0.3">
      <c r="A15" s="32" t="s">
        <v>651</v>
      </c>
      <c r="B15" s="32" t="s">
        <v>645</v>
      </c>
      <c r="C15" s="32" t="s">
        <v>626</v>
      </c>
      <c r="D15" s="32" t="s">
        <v>652</v>
      </c>
      <c r="E15" s="32"/>
      <c r="F15" s="32" t="s">
        <v>647</v>
      </c>
    </row>
    <row r="16" spans="1:6" ht="28.05" customHeight="1" x14ac:dyDescent="0.3">
      <c r="A16" s="4" t="s">
        <v>653</v>
      </c>
      <c r="B16" s="4" t="s">
        <v>654</v>
      </c>
      <c r="C16" s="4" t="s">
        <v>655</v>
      </c>
      <c r="D16" s="4" t="s">
        <v>656</v>
      </c>
      <c r="E16" s="4" t="s">
        <v>657</v>
      </c>
      <c r="F16" s="4" t="s">
        <v>658</v>
      </c>
    </row>
    <row r="19" spans="1:6" x14ac:dyDescent="0.3">
      <c r="A19" s="51" t="s">
        <v>659</v>
      </c>
      <c r="B19" s="36"/>
      <c r="C19" s="36"/>
      <c r="D19" s="36"/>
      <c r="E19" s="36"/>
      <c r="F19" s="36"/>
    </row>
    <row r="20" spans="1:6" ht="34.950000000000003" customHeight="1" x14ac:dyDescent="0.3">
      <c r="A20" s="31" t="s">
        <v>58</v>
      </c>
      <c r="B20" s="31" t="s">
        <v>660</v>
      </c>
      <c r="C20" s="31" t="s">
        <v>661</v>
      </c>
      <c r="D20" s="31" t="s">
        <v>662</v>
      </c>
      <c r="E20" s="31" t="s">
        <v>7</v>
      </c>
      <c r="F20" s="31" t="s">
        <v>246</v>
      </c>
    </row>
    <row r="21" spans="1:6" ht="22.05" customHeight="1" x14ac:dyDescent="0.3">
      <c r="A21" s="32" t="s">
        <v>186</v>
      </c>
      <c r="B21" s="32" t="s">
        <v>663</v>
      </c>
      <c r="C21" s="32" t="s">
        <v>664</v>
      </c>
      <c r="D21" s="32" t="s">
        <v>665</v>
      </c>
      <c r="E21" s="32" t="s">
        <v>666</v>
      </c>
      <c r="F21" s="32" t="s">
        <v>667</v>
      </c>
    </row>
    <row r="22" spans="1:6" ht="22.05" customHeight="1" x14ac:dyDescent="0.3">
      <c r="A22" s="4" t="s">
        <v>668</v>
      </c>
      <c r="B22" s="4" t="s">
        <v>663</v>
      </c>
      <c r="C22" s="4" t="s">
        <v>664</v>
      </c>
      <c r="D22" s="4" t="s">
        <v>665</v>
      </c>
      <c r="E22" s="4" t="s">
        <v>669</v>
      </c>
      <c r="F22" s="4" t="s">
        <v>667</v>
      </c>
    </row>
    <row r="23" spans="1:6" ht="22.05" customHeight="1" x14ac:dyDescent="0.3">
      <c r="A23" s="32" t="s">
        <v>670</v>
      </c>
      <c r="B23" s="32" t="s">
        <v>671</v>
      </c>
      <c r="C23" s="32" t="s">
        <v>664</v>
      </c>
      <c r="D23" s="32" t="s">
        <v>665</v>
      </c>
      <c r="E23" s="32" t="s">
        <v>672</v>
      </c>
      <c r="F23" s="32" t="s">
        <v>667</v>
      </c>
    </row>
    <row r="24" spans="1:6" ht="22.05" customHeight="1" x14ac:dyDescent="0.3">
      <c r="A24" s="4" t="s">
        <v>673</v>
      </c>
      <c r="B24" s="4" t="s">
        <v>671</v>
      </c>
      <c r="C24" s="4" t="s">
        <v>664</v>
      </c>
      <c r="D24" s="4" t="s">
        <v>665</v>
      </c>
      <c r="E24" s="4" t="s">
        <v>674</v>
      </c>
      <c r="F24" s="4" t="s">
        <v>667</v>
      </c>
    </row>
    <row r="25" spans="1:6" ht="22.05" customHeight="1" x14ac:dyDescent="0.3">
      <c r="A25" s="32" t="s">
        <v>675</v>
      </c>
      <c r="B25" s="32" t="s">
        <v>676</v>
      </c>
      <c r="C25" s="32" t="s">
        <v>664</v>
      </c>
      <c r="D25" s="32" t="s">
        <v>665</v>
      </c>
      <c r="E25" s="32" t="s">
        <v>677</v>
      </c>
      <c r="F25" s="32" t="s">
        <v>667</v>
      </c>
    </row>
    <row r="26" spans="1:6" ht="22.05" customHeight="1" x14ac:dyDescent="0.3">
      <c r="A26" s="4" t="s">
        <v>178</v>
      </c>
      <c r="B26" s="4" t="s">
        <v>678</v>
      </c>
      <c r="C26" s="4" t="s">
        <v>679</v>
      </c>
      <c r="D26" s="4" t="s">
        <v>630</v>
      </c>
      <c r="E26" s="4" t="s">
        <v>680</v>
      </c>
      <c r="F26" s="4" t="s">
        <v>667</v>
      </c>
    </row>
    <row r="27" spans="1:6" ht="22.05" customHeight="1" x14ac:dyDescent="0.3">
      <c r="A27" s="32" t="s">
        <v>681</v>
      </c>
      <c r="B27" s="32" t="s">
        <v>682</v>
      </c>
      <c r="C27" s="32" t="s">
        <v>682</v>
      </c>
      <c r="D27" s="32" t="s">
        <v>683</v>
      </c>
      <c r="E27" s="32" t="s">
        <v>674</v>
      </c>
      <c r="F27" s="32" t="s">
        <v>667</v>
      </c>
    </row>
    <row r="28" spans="1:6" ht="22.05" customHeight="1" x14ac:dyDescent="0.3">
      <c r="A28" s="4" t="s">
        <v>684</v>
      </c>
      <c r="B28" s="4" t="s">
        <v>682</v>
      </c>
      <c r="C28" s="4" t="s">
        <v>682</v>
      </c>
      <c r="D28" s="4" t="s">
        <v>630</v>
      </c>
      <c r="E28" s="4" t="s">
        <v>685</v>
      </c>
      <c r="F28" s="4" t="s">
        <v>667</v>
      </c>
    </row>
    <row r="31" spans="1:6" x14ac:dyDescent="0.3">
      <c r="A31" s="51" t="s">
        <v>686</v>
      </c>
      <c r="B31" s="36"/>
      <c r="C31" s="36"/>
      <c r="D31" s="36"/>
      <c r="E31" s="36"/>
      <c r="F31" s="36"/>
    </row>
    <row r="32" spans="1:6" ht="30" customHeight="1" x14ac:dyDescent="0.3">
      <c r="A32" s="31" t="s">
        <v>82</v>
      </c>
      <c r="B32" s="31" t="s">
        <v>59</v>
      </c>
      <c r="C32" s="31" t="s">
        <v>60</v>
      </c>
      <c r="D32" s="31" t="s">
        <v>61</v>
      </c>
      <c r="E32" s="31" t="s">
        <v>62</v>
      </c>
      <c r="F32" s="31" t="s">
        <v>63</v>
      </c>
    </row>
    <row r="33" spans="1:6" ht="22.05" customHeight="1" x14ac:dyDescent="0.3">
      <c r="A33" s="32" t="s">
        <v>687</v>
      </c>
      <c r="B33" s="33">
        <v>6114.75</v>
      </c>
      <c r="C33" s="33">
        <v>7035.68</v>
      </c>
      <c r="D33" s="33">
        <v>9614.34</v>
      </c>
      <c r="E33" s="33">
        <v>16234.65</v>
      </c>
      <c r="F33" s="33">
        <v>22973.61</v>
      </c>
    </row>
    <row r="34" spans="1:6" ht="22.05" customHeight="1" x14ac:dyDescent="0.3">
      <c r="A34" s="4" t="s">
        <v>688</v>
      </c>
      <c r="B34" s="8">
        <v>2463.94</v>
      </c>
      <c r="C34" s="8">
        <v>2185.15</v>
      </c>
      <c r="D34" s="8">
        <v>1850.32</v>
      </c>
      <c r="E34" s="8">
        <v>1318.53</v>
      </c>
      <c r="F34" s="8">
        <v>1595.34</v>
      </c>
    </row>
    <row r="35" spans="1:6" ht="22.05" customHeight="1" x14ac:dyDescent="0.3">
      <c r="A35" s="32" t="s">
        <v>689</v>
      </c>
      <c r="B35" s="33">
        <v>374.22</v>
      </c>
      <c r="C35" s="33">
        <v>1328.08</v>
      </c>
      <c r="D35" s="33">
        <v>3039.04</v>
      </c>
      <c r="E35" s="33">
        <v>2287.41</v>
      </c>
      <c r="F35" s="33">
        <v>195.22</v>
      </c>
    </row>
    <row r="36" spans="1:6" ht="22.05" customHeight="1" x14ac:dyDescent="0.3">
      <c r="A36" s="4" t="s">
        <v>690</v>
      </c>
      <c r="B36" s="8">
        <v>223.84</v>
      </c>
      <c r="C36" s="8">
        <v>326.38</v>
      </c>
      <c r="D36" s="8">
        <v>347.42</v>
      </c>
      <c r="E36" s="8">
        <v>367.91</v>
      </c>
      <c r="F36" s="8">
        <v>334.47</v>
      </c>
    </row>
    <row r="37" spans="1:6" ht="22.05" customHeight="1" x14ac:dyDescent="0.3">
      <c r="A37" s="32" t="s">
        <v>691</v>
      </c>
      <c r="B37" s="33">
        <v>3169.73</v>
      </c>
      <c r="C37" s="33">
        <v>3842.86</v>
      </c>
      <c r="D37" s="33">
        <v>6305.08</v>
      </c>
      <c r="E37" s="33">
        <v>8730.82</v>
      </c>
      <c r="F37" s="33">
        <v>10741.93</v>
      </c>
    </row>
    <row r="38" spans="1:6" ht="22.05" customHeight="1" x14ac:dyDescent="0.3">
      <c r="A38" s="4" t="s">
        <v>692</v>
      </c>
      <c r="B38" s="8">
        <v>30658.53</v>
      </c>
      <c r="C38" s="8">
        <v>31217.11</v>
      </c>
      <c r="D38" s="8">
        <v>38379.949999999997</v>
      </c>
      <c r="E38" s="8">
        <v>38831.5</v>
      </c>
      <c r="F38" s="8">
        <v>42920.82</v>
      </c>
    </row>
    <row r="39" spans="1:6" ht="22.05" customHeight="1" x14ac:dyDescent="0.3">
      <c r="A39" s="32" t="s">
        <v>693</v>
      </c>
      <c r="B39" s="33">
        <v>27939.46</v>
      </c>
      <c r="C39" s="33">
        <v>28428.76</v>
      </c>
      <c r="D39" s="33">
        <v>33915.79</v>
      </c>
      <c r="E39" s="33">
        <v>35626.620000000003</v>
      </c>
      <c r="F39" s="33">
        <v>37032.68</v>
      </c>
    </row>
    <row r="40" spans="1:6" ht="22.05" customHeight="1" x14ac:dyDescent="0.3">
      <c r="A40" s="4" t="s">
        <v>694</v>
      </c>
      <c r="B40" s="8" t="s">
        <v>695</v>
      </c>
      <c r="C40" s="8" t="s">
        <v>696</v>
      </c>
      <c r="D40" s="8" t="s">
        <v>697</v>
      </c>
      <c r="E40" s="8" t="s">
        <v>698</v>
      </c>
      <c r="F40" s="8" t="s">
        <v>699</v>
      </c>
    </row>
    <row r="41" spans="1:6" ht="22.05" customHeight="1" x14ac:dyDescent="0.3">
      <c r="A41" s="32" t="s">
        <v>700</v>
      </c>
      <c r="B41" s="33" t="s">
        <v>701</v>
      </c>
      <c r="C41" s="33" t="s">
        <v>702</v>
      </c>
      <c r="D41" s="33" t="s">
        <v>703</v>
      </c>
      <c r="E41" s="33" t="s">
        <v>704</v>
      </c>
      <c r="F41" s="33" t="s">
        <v>705</v>
      </c>
    </row>
    <row r="42" spans="1:6" ht="22.05" customHeight="1" x14ac:dyDescent="0.3">
      <c r="A42" s="4" t="s">
        <v>706</v>
      </c>
      <c r="B42" s="8" t="s">
        <v>707</v>
      </c>
      <c r="C42" s="8" t="s">
        <v>708</v>
      </c>
      <c r="D42" s="8" t="s">
        <v>709</v>
      </c>
      <c r="E42" s="8" t="s">
        <v>710</v>
      </c>
      <c r="F42" s="8" t="s">
        <v>711</v>
      </c>
    </row>
    <row r="43" spans="1:6" ht="22.05" customHeight="1" x14ac:dyDescent="0.3">
      <c r="A43" s="32" t="s">
        <v>712</v>
      </c>
      <c r="B43" s="33">
        <v>2.15</v>
      </c>
      <c r="C43" s="33">
        <v>2.79</v>
      </c>
      <c r="D43" s="33">
        <v>2.4500000000000002</v>
      </c>
      <c r="E43" s="33">
        <v>2.79</v>
      </c>
      <c r="F43" s="33">
        <v>3.92</v>
      </c>
    </row>
    <row r="44" spans="1:6" ht="22.05" customHeight="1" x14ac:dyDescent="0.3">
      <c r="A44" s="4" t="s">
        <v>713</v>
      </c>
      <c r="B44" s="8">
        <v>89.8</v>
      </c>
      <c r="C44" s="8">
        <v>99.58</v>
      </c>
      <c r="D44" s="8">
        <v>104.76</v>
      </c>
      <c r="E44" s="8">
        <v>109.64</v>
      </c>
      <c r="F44" s="8">
        <v>114.99</v>
      </c>
    </row>
    <row r="45" spans="1:6" ht="22.05" customHeight="1" x14ac:dyDescent="0.3">
      <c r="A45" s="32" t="s">
        <v>714</v>
      </c>
      <c r="B45" s="33">
        <v>0.82</v>
      </c>
      <c r="C45" s="33">
        <v>1.1100000000000001</v>
      </c>
      <c r="D45" s="33">
        <v>1.55</v>
      </c>
      <c r="E45" s="33">
        <v>2.56</v>
      </c>
      <c r="F45" s="33">
        <v>3.21</v>
      </c>
    </row>
    <row r="48" spans="1:6" x14ac:dyDescent="0.3">
      <c r="A48" s="51" t="s">
        <v>715</v>
      </c>
      <c r="B48" s="36"/>
      <c r="C48" s="36"/>
      <c r="D48" s="36"/>
      <c r="E48" s="36"/>
      <c r="F48" s="36"/>
    </row>
    <row r="49" spans="1:6" x14ac:dyDescent="0.3">
      <c r="A49" s="31" t="s">
        <v>716</v>
      </c>
      <c r="B49" s="31" t="s">
        <v>717</v>
      </c>
      <c r="C49" s="31" t="s">
        <v>718</v>
      </c>
      <c r="D49" s="31" t="s">
        <v>719</v>
      </c>
      <c r="E49" s="31" t="s">
        <v>720</v>
      </c>
      <c r="F49" s="31" t="s">
        <v>11</v>
      </c>
    </row>
    <row r="50" spans="1:6" ht="34.950000000000003" customHeight="1" x14ac:dyDescent="0.3">
      <c r="A50" s="32" t="s">
        <v>721</v>
      </c>
      <c r="B50" s="32" t="s">
        <v>722</v>
      </c>
      <c r="C50" s="32">
        <v>30.81</v>
      </c>
      <c r="D50" s="32">
        <v>28.82</v>
      </c>
      <c r="E50" s="32">
        <v>2.4</v>
      </c>
      <c r="F50" s="32" t="s">
        <v>723</v>
      </c>
    </row>
    <row r="51" spans="1:6" ht="34.950000000000003" customHeight="1" x14ac:dyDescent="0.3">
      <c r="A51" s="4" t="s">
        <v>724</v>
      </c>
      <c r="B51" s="4" t="s">
        <v>725</v>
      </c>
      <c r="C51" s="4">
        <v>19.36</v>
      </c>
      <c r="D51" s="4">
        <v>43.03</v>
      </c>
      <c r="E51" s="4">
        <v>3.59</v>
      </c>
      <c r="F51" s="4" t="s">
        <v>726</v>
      </c>
    </row>
    <row r="52" spans="1:6" ht="34.950000000000003" customHeight="1" x14ac:dyDescent="0.3">
      <c r="A52" s="32" t="s">
        <v>727</v>
      </c>
      <c r="B52" s="32" t="s">
        <v>728</v>
      </c>
      <c r="C52" s="32">
        <v>14.33</v>
      </c>
      <c r="D52" s="32">
        <v>14.58</v>
      </c>
      <c r="E52" s="32">
        <v>1.21</v>
      </c>
      <c r="F52" s="32" t="s">
        <v>729</v>
      </c>
    </row>
    <row r="55" spans="1:6" x14ac:dyDescent="0.3">
      <c r="A55" s="51" t="s">
        <v>730</v>
      </c>
      <c r="B55" s="36"/>
      <c r="C55" s="36"/>
      <c r="D55" s="36"/>
      <c r="E55" s="36"/>
      <c r="F55" s="36"/>
    </row>
    <row r="56" spans="1:6" x14ac:dyDescent="0.3">
      <c r="A56" s="31" t="s">
        <v>731</v>
      </c>
      <c r="B56" s="31" t="s">
        <v>732</v>
      </c>
      <c r="C56" s="31" t="s">
        <v>733</v>
      </c>
      <c r="D56" s="31" t="s">
        <v>734</v>
      </c>
      <c r="E56" s="31" t="s">
        <v>11</v>
      </c>
      <c r="F56" s="31" t="s">
        <v>246</v>
      </c>
    </row>
    <row r="57" spans="1:6" ht="22.05" customHeight="1" x14ac:dyDescent="0.3">
      <c r="A57" s="32" t="s">
        <v>735</v>
      </c>
      <c r="B57" s="33">
        <v>2523.998</v>
      </c>
      <c r="C57" s="33">
        <v>59541</v>
      </c>
      <c r="D57" s="34" t="s">
        <v>736</v>
      </c>
      <c r="E57" s="32" t="s">
        <v>737</v>
      </c>
      <c r="F57" s="32" t="s">
        <v>1</v>
      </c>
    </row>
    <row r="58" spans="1:6" ht="22.05" customHeight="1" x14ac:dyDescent="0.3">
      <c r="A58" s="4" t="s">
        <v>738</v>
      </c>
      <c r="B58" s="8">
        <v>2762.8609999999999</v>
      </c>
      <c r="C58" s="8">
        <v>22951</v>
      </c>
      <c r="D58" s="5" t="s">
        <v>739</v>
      </c>
      <c r="E58" s="4" t="s">
        <v>740</v>
      </c>
      <c r="F58" s="4" t="s">
        <v>1</v>
      </c>
    </row>
    <row r="59" spans="1:6" ht="22.05" customHeight="1" x14ac:dyDescent="0.3">
      <c r="A59" s="32" t="s">
        <v>741</v>
      </c>
      <c r="B59" s="33">
        <v>52.732999999999997</v>
      </c>
      <c r="C59" s="33">
        <v>18017</v>
      </c>
      <c r="D59" s="34" t="s">
        <v>742</v>
      </c>
      <c r="E59" s="32"/>
      <c r="F59" s="32" t="s">
        <v>1</v>
      </c>
    </row>
    <row r="60" spans="1:6" ht="22.05" customHeight="1" x14ac:dyDescent="0.3">
      <c r="A60" s="4" t="s">
        <v>743</v>
      </c>
      <c r="B60" s="8">
        <v>99.834000000000003</v>
      </c>
      <c r="C60" s="8">
        <v>17993</v>
      </c>
      <c r="D60" s="5" t="s">
        <v>744</v>
      </c>
      <c r="E60" s="4" t="s">
        <v>745</v>
      </c>
      <c r="F60" s="4" t="s">
        <v>1</v>
      </c>
    </row>
    <row r="61" spans="1:6" ht="22.05" customHeight="1" x14ac:dyDescent="0.3">
      <c r="A61" s="32" t="s">
        <v>746</v>
      </c>
      <c r="B61" s="33">
        <v>83.700999999999993</v>
      </c>
      <c r="C61" s="33">
        <v>18590</v>
      </c>
      <c r="D61" s="34" t="s">
        <v>747</v>
      </c>
      <c r="E61" s="32" t="s">
        <v>748</v>
      </c>
      <c r="F61" s="32" t="s">
        <v>1</v>
      </c>
    </row>
    <row r="62" spans="1:6" ht="22.05" customHeight="1" x14ac:dyDescent="0.3">
      <c r="A62" s="4" t="s">
        <v>749</v>
      </c>
      <c r="B62" s="8">
        <v>242.517</v>
      </c>
      <c r="C62" s="8">
        <v>11157</v>
      </c>
      <c r="D62" s="5" t="s">
        <v>750</v>
      </c>
      <c r="E62" s="4" t="s">
        <v>751</v>
      </c>
      <c r="F62" s="4" t="s">
        <v>1</v>
      </c>
    </row>
    <row r="63" spans="1:6" ht="22.05" customHeight="1" x14ac:dyDescent="0.3">
      <c r="A63" s="32" t="s">
        <v>752</v>
      </c>
      <c r="B63" s="33">
        <v>190.316</v>
      </c>
      <c r="C63" s="33">
        <v>10357</v>
      </c>
      <c r="D63" s="34" t="s">
        <v>753</v>
      </c>
      <c r="E63" s="32" t="s">
        <v>754</v>
      </c>
      <c r="F63" s="32" t="s">
        <v>1</v>
      </c>
    </row>
    <row r="64" spans="1:6" ht="22.05" customHeight="1" x14ac:dyDescent="0.3">
      <c r="A64" s="4" t="s">
        <v>755</v>
      </c>
      <c r="B64" s="8">
        <v>17.882000000000001</v>
      </c>
      <c r="C64" s="8">
        <v>12682</v>
      </c>
      <c r="D64" s="5" t="s">
        <v>131</v>
      </c>
      <c r="E64" s="4" t="s">
        <v>756</v>
      </c>
      <c r="F64" s="4" t="s">
        <v>1</v>
      </c>
    </row>
    <row r="65" spans="1:6" ht="22.05" customHeight="1" x14ac:dyDescent="0.3">
      <c r="A65" s="32" t="s">
        <v>757</v>
      </c>
      <c r="B65" s="33">
        <v>12.041</v>
      </c>
      <c r="C65" s="33">
        <v>8074</v>
      </c>
      <c r="D65" s="34" t="s">
        <v>758</v>
      </c>
      <c r="E65" s="32"/>
      <c r="F65" s="32" t="s">
        <v>1</v>
      </c>
    </row>
    <row r="66" spans="1:6" ht="22.05" customHeight="1" x14ac:dyDescent="0.3">
      <c r="A66" s="4" t="s">
        <v>759</v>
      </c>
      <c r="B66" s="8">
        <v>16.960999999999999</v>
      </c>
      <c r="C66" s="8">
        <v>15564</v>
      </c>
      <c r="D66" s="5" t="s">
        <v>760</v>
      </c>
      <c r="E66" s="4" t="s">
        <v>761</v>
      </c>
      <c r="F66" s="4" t="s">
        <v>1</v>
      </c>
    </row>
    <row r="67" spans="1:6" ht="22.05" customHeight="1" x14ac:dyDescent="0.3">
      <c r="A67" s="32" t="s">
        <v>762</v>
      </c>
      <c r="B67" s="33">
        <v>474.94400000000002</v>
      </c>
      <c r="C67" s="33">
        <v>6653</v>
      </c>
      <c r="D67" s="34" t="s">
        <v>763</v>
      </c>
      <c r="E67" s="32" t="s">
        <v>764</v>
      </c>
      <c r="F67" s="32" t="s">
        <v>1</v>
      </c>
    </row>
    <row r="68" spans="1:6" ht="22.05" customHeight="1" x14ac:dyDescent="0.3">
      <c r="A68" s="4" t="s">
        <v>765</v>
      </c>
      <c r="B68" s="8">
        <v>530.57299999999998</v>
      </c>
      <c r="C68" s="8">
        <v>5058</v>
      </c>
      <c r="D68" s="5" t="s">
        <v>766</v>
      </c>
      <c r="E68" s="4" t="s">
        <v>767</v>
      </c>
      <c r="F68" s="4" t="s">
        <v>1</v>
      </c>
    </row>
    <row r="69" spans="1:6" ht="22.05" customHeight="1" x14ac:dyDescent="0.3">
      <c r="A69" s="32" t="s">
        <v>768</v>
      </c>
      <c r="B69" s="33">
        <v>17.771999999999998</v>
      </c>
      <c r="C69" s="33">
        <v>6244</v>
      </c>
      <c r="D69" s="34" t="s">
        <v>769</v>
      </c>
      <c r="E69" s="32" t="s">
        <v>770</v>
      </c>
      <c r="F69" s="32" t="s">
        <v>1</v>
      </c>
    </row>
    <row r="70" spans="1:6" ht="22.05" customHeight="1" x14ac:dyDescent="0.3">
      <c r="A70" s="4" t="s">
        <v>771</v>
      </c>
      <c r="B70" s="8">
        <v>50.670999999999999</v>
      </c>
      <c r="C70" s="8">
        <v>11260</v>
      </c>
      <c r="D70" s="5" t="s">
        <v>772</v>
      </c>
      <c r="E70" s="4" t="s">
        <v>773</v>
      </c>
      <c r="F70" s="4" t="s">
        <v>1</v>
      </c>
    </row>
    <row r="71" spans="1:6" ht="22.05" customHeight="1" x14ac:dyDescent="0.3">
      <c r="A71" s="32" t="s">
        <v>774</v>
      </c>
      <c r="B71" s="33">
        <v>17.756</v>
      </c>
      <c r="C71" s="33">
        <v>5224</v>
      </c>
      <c r="D71" s="34" t="s">
        <v>775</v>
      </c>
      <c r="E71" s="32" t="s">
        <v>776</v>
      </c>
      <c r="F71" s="32" t="s">
        <v>1</v>
      </c>
    </row>
    <row r="72" spans="1:6" ht="22.05" customHeight="1" x14ac:dyDescent="0.3">
      <c r="A72" s="4" t="s">
        <v>777</v>
      </c>
      <c r="B72" s="8">
        <v>8.7840000000000007</v>
      </c>
      <c r="C72" s="8">
        <v>5145</v>
      </c>
      <c r="D72" s="5" t="s">
        <v>778</v>
      </c>
      <c r="E72" s="4" t="s">
        <v>779</v>
      </c>
      <c r="F72" s="4" t="s">
        <v>1</v>
      </c>
    </row>
    <row r="73" spans="1:6" ht="22.05" customHeight="1" x14ac:dyDescent="0.3">
      <c r="A73" s="32" t="s">
        <v>780</v>
      </c>
      <c r="B73" s="33">
        <v>77.936999999999998</v>
      </c>
      <c r="C73" s="33">
        <v>8957</v>
      </c>
      <c r="D73" s="34" t="s">
        <v>781</v>
      </c>
      <c r="E73" s="32"/>
      <c r="F73" s="32" t="s">
        <v>1</v>
      </c>
    </row>
    <row r="74" spans="1:6" ht="22.05" customHeight="1" x14ac:dyDescent="0.3">
      <c r="A74" s="4" t="s">
        <v>782</v>
      </c>
      <c r="B74" s="8">
        <v>9.8970000000000002</v>
      </c>
      <c r="C74" s="8">
        <v>5534</v>
      </c>
      <c r="D74" s="5" t="s">
        <v>783</v>
      </c>
      <c r="E74" s="4" t="s">
        <v>784</v>
      </c>
      <c r="F74" s="4" t="s">
        <v>1</v>
      </c>
    </row>
    <row r="75" spans="1:6" ht="22.05" customHeight="1" x14ac:dyDescent="0.3">
      <c r="A75" s="32" t="s">
        <v>785</v>
      </c>
      <c r="B75" s="33">
        <v>9.0749999999999993</v>
      </c>
      <c r="C75" s="33">
        <v>6516</v>
      </c>
      <c r="D75" s="34" t="s">
        <v>786</v>
      </c>
      <c r="E75" s="32" t="s">
        <v>787</v>
      </c>
      <c r="F75" s="32" t="s">
        <v>1</v>
      </c>
    </row>
    <row r="78" spans="1:6" x14ac:dyDescent="0.3">
      <c r="A78" s="51" t="s">
        <v>788</v>
      </c>
      <c r="B78" s="36"/>
      <c r="C78" s="36"/>
      <c r="D78" s="36"/>
      <c r="E78" s="36"/>
      <c r="F78" s="36"/>
    </row>
    <row r="79" spans="1:6" x14ac:dyDescent="0.3">
      <c r="A79" s="31" t="s">
        <v>82</v>
      </c>
      <c r="B79" s="31" t="s">
        <v>59</v>
      </c>
      <c r="C79" s="31" t="s">
        <v>60</v>
      </c>
      <c r="D79" s="31" t="s">
        <v>61</v>
      </c>
      <c r="E79" s="31" t="s">
        <v>62</v>
      </c>
      <c r="F79" s="31" t="s">
        <v>63</v>
      </c>
    </row>
    <row r="80" spans="1:6" ht="22.05" customHeight="1" x14ac:dyDescent="0.3">
      <c r="A80" s="32" t="s">
        <v>789</v>
      </c>
      <c r="B80" s="33">
        <v>90483</v>
      </c>
      <c r="C80" s="33">
        <v>91195</v>
      </c>
      <c r="D80" s="33">
        <v>91195</v>
      </c>
      <c r="E80" s="33">
        <v>92476</v>
      </c>
      <c r="F80" s="33">
        <v>93725</v>
      </c>
    </row>
    <row r="81" spans="1:6" ht="22.05" customHeight="1" x14ac:dyDescent="0.3">
      <c r="A81" s="4" t="s">
        <v>790</v>
      </c>
      <c r="B81" s="8" t="s">
        <v>791</v>
      </c>
      <c r="C81" s="8" t="s">
        <v>791</v>
      </c>
      <c r="D81" s="8" t="s">
        <v>791</v>
      </c>
      <c r="E81" s="8" t="s">
        <v>791</v>
      </c>
      <c r="F81" s="8" t="s">
        <v>791</v>
      </c>
    </row>
    <row r="82" spans="1:6" ht="22.05" customHeight="1" x14ac:dyDescent="0.3">
      <c r="A82" s="32" t="s">
        <v>792</v>
      </c>
      <c r="B82" s="33" t="s">
        <v>793</v>
      </c>
      <c r="C82" s="33" t="s">
        <v>794</v>
      </c>
      <c r="D82" s="33" t="s">
        <v>794</v>
      </c>
      <c r="E82" s="33" t="s">
        <v>795</v>
      </c>
      <c r="F82" s="33" t="s">
        <v>795</v>
      </c>
    </row>
    <row r="83" spans="1:6" ht="22.05" customHeight="1" x14ac:dyDescent="0.3">
      <c r="A83" s="4" t="s">
        <v>796</v>
      </c>
      <c r="B83" s="8" t="s">
        <v>797</v>
      </c>
      <c r="C83" s="8" t="s">
        <v>797</v>
      </c>
      <c r="D83" s="8" t="s">
        <v>797</v>
      </c>
      <c r="E83" s="8" t="s">
        <v>797</v>
      </c>
      <c r="F83" s="8" t="s">
        <v>797</v>
      </c>
    </row>
    <row r="86" spans="1:6" x14ac:dyDescent="0.3">
      <c r="A86" s="51" t="s">
        <v>798</v>
      </c>
      <c r="B86" s="36"/>
      <c r="C86" s="36"/>
      <c r="D86" s="36"/>
      <c r="E86" s="36"/>
      <c r="F86" s="36"/>
    </row>
    <row r="87" spans="1:6" x14ac:dyDescent="0.3">
      <c r="A87" s="31" t="s">
        <v>609</v>
      </c>
      <c r="B87" s="31" t="s">
        <v>799</v>
      </c>
      <c r="C87" s="31" t="s">
        <v>800</v>
      </c>
      <c r="D87" s="31" t="s">
        <v>801</v>
      </c>
      <c r="E87" s="31" t="s">
        <v>11</v>
      </c>
      <c r="F87" s="31" t="s">
        <v>246</v>
      </c>
    </row>
    <row r="88" spans="1:6" ht="22.05" customHeight="1" x14ac:dyDescent="0.3">
      <c r="A88" s="32" t="s">
        <v>802</v>
      </c>
      <c r="B88" s="32" t="s">
        <v>803</v>
      </c>
      <c r="C88" s="33">
        <v>2209</v>
      </c>
      <c r="D88" s="34" t="s">
        <v>804</v>
      </c>
      <c r="E88" s="32"/>
      <c r="F88" s="32" t="s">
        <v>805</v>
      </c>
    </row>
    <row r="89" spans="1:6" ht="22.05" customHeight="1" x14ac:dyDescent="0.3">
      <c r="A89" s="4" t="s">
        <v>802</v>
      </c>
      <c r="B89" s="4" t="s">
        <v>806</v>
      </c>
      <c r="C89" s="8">
        <v>13</v>
      </c>
      <c r="D89" s="5" t="s">
        <v>807</v>
      </c>
      <c r="E89" s="4"/>
      <c r="F89" s="4" t="s">
        <v>805</v>
      </c>
    </row>
    <row r="90" spans="1:6" ht="22.05" customHeight="1" x14ac:dyDescent="0.3">
      <c r="A90" s="32" t="s">
        <v>808</v>
      </c>
      <c r="B90" s="32" t="s">
        <v>809</v>
      </c>
      <c r="C90" s="33">
        <v>1796</v>
      </c>
      <c r="D90" s="34" t="s">
        <v>810</v>
      </c>
      <c r="E90" s="32"/>
      <c r="F90" s="32" t="s">
        <v>805</v>
      </c>
    </row>
    <row r="91" spans="1:6" ht="22.05" customHeight="1" x14ac:dyDescent="0.3">
      <c r="A91" s="4" t="s">
        <v>808</v>
      </c>
      <c r="B91" s="4" t="s">
        <v>811</v>
      </c>
      <c r="C91" s="8">
        <v>426</v>
      </c>
      <c r="D91" s="5" t="s">
        <v>812</v>
      </c>
      <c r="E91" s="4"/>
      <c r="F91" s="4" t="s">
        <v>805</v>
      </c>
    </row>
    <row r="92" spans="1:6" ht="22.05" customHeight="1" x14ac:dyDescent="0.3">
      <c r="A92" s="32" t="s">
        <v>813</v>
      </c>
      <c r="B92" s="32" t="s">
        <v>814</v>
      </c>
      <c r="C92" s="33">
        <v>367</v>
      </c>
      <c r="D92" s="34" t="s">
        <v>815</v>
      </c>
      <c r="E92" s="32"/>
      <c r="F92" s="32" t="s">
        <v>805</v>
      </c>
    </row>
    <row r="93" spans="1:6" ht="22.05" customHeight="1" x14ac:dyDescent="0.3">
      <c r="A93" s="4" t="s">
        <v>813</v>
      </c>
      <c r="B93" s="4" t="s">
        <v>816</v>
      </c>
      <c r="C93" s="8">
        <v>744</v>
      </c>
      <c r="D93" s="5" t="s">
        <v>817</v>
      </c>
      <c r="E93" s="4"/>
      <c r="F93" s="4" t="s">
        <v>805</v>
      </c>
    </row>
    <row r="94" spans="1:6" ht="22.05" customHeight="1" x14ac:dyDescent="0.3">
      <c r="A94" s="32" t="s">
        <v>813</v>
      </c>
      <c r="B94" s="32" t="s">
        <v>818</v>
      </c>
      <c r="C94" s="33">
        <v>795</v>
      </c>
      <c r="D94" s="34" t="s">
        <v>819</v>
      </c>
      <c r="E94" s="32" t="s">
        <v>820</v>
      </c>
      <c r="F94" s="32" t="s">
        <v>805</v>
      </c>
    </row>
    <row r="95" spans="1:6" ht="22.05" customHeight="1" x14ac:dyDescent="0.3">
      <c r="A95" s="4" t="s">
        <v>813</v>
      </c>
      <c r="B95" s="4" t="s">
        <v>821</v>
      </c>
      <c r="C95" s="8">
        <v>316</v>
      </c>
      <c r="D95" s="5" t="s">
        <v>822</v>
      </c>
      <c r="E95" s="4"/>
      <c r="F95" s="4" t="s">
        <v>805</v>
      </c>
    </row>
    <row r="96" spans="1:6" ht="22.05" customHeight="1" x14ac:dyDescent="0.3">
      <c r="A96" s="32" t="s">
        <v>823</v>
      </c>
      <c r="B96" s="32" t="s">
        <v>824</v>
      </c>
      <c r="C96" s="33">
        <v>62</v>
      </c>
      <c r="D96" s="34" t="s">
        <v>825</v>
      </c>
      <c r="E96" s="32"/>
      <c r="F96" s="32" t="s">
        <v>805</v>
      </c>
    </row>
    <row r="97" spans="1:6" ht="22.05" customHeight="1" x14ac:dyDescent="0.3">
      <c r="A97" s="4" t="s">
        <v>823</v>
      </c>
      <c r="B97" s="4" t="s">
        <v>826</v>
      </c>
      <c r="C97" s="8">
        <v>185</v>
      </c>
      <c r="D97" s="5" t="s">
        <v>827</v>
      </c>
      <c r="E97" s="4"/>
      <c r="F97" s="4" t="s">
        <v>805</v>
      </c>
    </row>
    <row r="98" spans="1:6" ht="22.05" customHeight="1" x14ac:dyDescent="0.3">
      <c r="A98" s="32" t="s">
        <v>823</v>
      </c>
      <c r="B98" s="32" t="s">
        <v>828</v>
      </c>
      <c r="C98" s="33">
        <v>248</v>
      </c>
      <c r="D98" s="34" t="s">
        <v>829</v>
      </c>
      <c r="E98" s="32"/>
      <c r="F98" s="32" t="s">
        <v>805</v>
      </c>
    </row>
    <row r="99" spans="1:6" ht="22.05" customHeight="1" x14ac:dyDescent="0.3">
      <c r="A99" s="4" t="s">
        <v>823</v>
      </c>
      <c r="B99" s="4" t="s">
        <v>830</v>
      </c>
      <c r="C99" s="8">
        <v>1727</v>
      </c>
      <c r="D99" s="5" t="s">
        <v>831</v>
      </c>
      <c r="E99" s="4"/>
      <c r="F99" s="4" t="s">
        <v>805</v>
      </c>
    </row>
    <row r="100" spans="1:6" ht="22.05" customHeight="1" x14ac:dyDescent="0.3">
      <c r="A100" s="32" t="s">
        <v>832</v>
      </c>
      <c r="B100" s="32" t="s">
        <v>340</v>
      </c>
      <c r="C100" s="33">
        <v>2222</v>
      </c>
      <c r="D100" s="34" t="s">
        <v>797</v>
      </c>
      <c r="E100" s="32" t="s">
        <v>833</v>
      </c>
      <c r="F100" s="32" t="s">
        <v>805</v>
      </c>
    </row>
    <row r="103" spans="1:6" x14ac:dyDescent="0.3">
      <c r="A103" s="51" t="s">
        <v>834</v>
      </c>
      <c r="B103" s="36"/>
      <c r="C103" s="36"/>
      <c r="D103" s="36"/>
      <c r="E103" s="36"/>
      <c r="F103" s="36"/>
    </row>
    <row r="104" spans="1:6" x14ac:dyDescent="0.3">
      <c r="A104" s="31" t="s">
        <v>835</v>
      </c>
      <c r="B104" s="31" t="s">
        <v>836</v>
      </c>
      <c r="C104" s="31" t="s">
        <v>837</v>
      </c>
      <c r="D104" s="31" t="s">
        <v>838</v>
      </c>
      <c r="E104" s="31" t="s">
        <v>839</v>
      </c>
      <c r="F104" s="31" t="s">
        <v>246</v>
      </c>
    </row>
    <row r="105" spans="1:6" ht="40.049999999999997" customHeight="1" x14ac:dyDescent="0.3">
      <c r="A105" s="32" t="s">
        <v>840</v>
      </c>
      <c r="B105" s="32" t="s">
        <v>841</v>
      </c>
      <c r="C105" s="32" t="s">
        <v>842</v>
      </c>
      <c r="D105" s="32" t="s">
        <v>843</v>
      </c>
      <c r="E105" s="32" t="s">
        <v>844</v>
      </c>
      <c r="F105" s="32" t="s">
        <v>845</v>
      </c>
    </row>
    <row r="106" spans="1:6" ht="40.049999999999997" customHeight="1" x14ac:dyDescent="0.3">
      <c r="A106" s="4" t="s">
        <v>846</v>
      </c>
      <c r="B106" s="4" t="s">
        <v>847</v>
      </c>
      <c r="C106" s="4" t="s">
        <v>848</v>
      </c>
      <c r="D106" s="4" t="s">
        <v>849</v>
      </c>
      <c r="E106" s="4" t="s">
        <v>850</v>
      </c>
      <c r="F106" s="4" t="s">
        <v>851</v>
      </c>
    </row>
    <row r="107" spans="1:6" ht="40.049999999999997" customHeight="1" x14ac:dyDescent="0.3">
      <c r="A107" s="32" t="s">
        <v>852</v>
      </c>
      <c r="B107" s="32" t="s">
        <v>853</v>
      </c>
      <c r="C107" s="32" t="s">
        <v>854</v>
      </c>
      <c r="D107" s="32" t="s">
        <v>855</v>
      </c>
      <c r="E107" s="32" t="s">
        <v>856</v>
      </c>
      <c r="F107" s="32" t="s">
        <v>857</v>
      </c>
    </row>
    <row r="109" spans="1:6" ht="25.05" customHeight="1" x14ac:dyDescent="0.3">
      <c r="A109" s="43" t="s">
        <v>858</v>
      </c>
      <c r="B109" s="36"/>
      <c r="C109" s="36"/>
      <c r="D109" s="36"/>
      <c r="E109" s="36"/>
      <c r="F109" s="36"/>
    </row>
  </sheetData>
  <mergeCells count="11">
    <mergeCell ref="A2:F2"/>
    <mergeCell ref="A109:F109"/>
    <mergeCell ref="A78:F78"/>
    <mergeCell ref="A19:F19"/>
    <mergeCell ref="A1:F1"/>
    <mergeCell ref="A103:F103"/>
    <mergeCell ref="A31:F31"/>
    <mergeCell ref="A48:F48"/>
    <mergeCell ref="A3:F3"/>
    <mergeCell ref="A55:F55"/>
    <mergeCell ref="A86:F86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B8EB67883F9C4AA4534F5269849BBD" ma:contentTypeVersion="10" ma:contentTypeDescription="Crear nuevo documento." ma:contentTypeScope="" ma:versionID="2546235542583e8b2ff2cc2f7947903c">
  <xsd:schema xmlns:xsd="http://www.w3.org/2001/XMLSchema" xmlns:xs="http://www.w3.org/2001/XMLSchema" xmlns:p="http://schemas.microsoft.com/office/2006/metadata/properties" xmlns:ns2="ee5d6ee9-6b90-4973-875c-30ee5d95ff57" xmlns:ns3="a2e62541-ed63-42e0-be49-5b4b52f4e389" targetNamespace="http://schemas.microsoft.com/office/2006/metadata/properties" ma:root="true" ma:fieldsID="9a1af3dc47ff3566ad41f62fd65c9ee6" ns2:_="" ns3:_="">
    <xsd:import namespace="ee5d6ee9-6b90-4973-875c-30ee5d95ff57"/>
    <xsd:import namespace="a2e62541-ed63-42e0-be49-5b4b52f4e3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d6ee9-6b90-4973-875c-30ee5d95ff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e62541-ed63-42e0-be49-5b4b52f4e3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abaf6c7-7496-4516-911a-634272e88661}" ma:internalName="TaxCatchAll" ma:showField="CatchAllData" ma:web="a2e62541-ed63-42e0-be49-5b4b52f4e3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5d6ee9-6b90-4973-875c-30ee5d95ff57">
      <Terms xmlns="http://schemas.microsoft.com/office/infopath/2007/PartnerControls"/>
    </lcf76f155ced4ddcb4097134ff3c332f>
    <TaxCatchAll xmlns="a2e62541-ed63-42e0-be49-5b4b52f4e389" xsi:nil="true"/>
  </documentManagement>
</p:properties>
</file>

<file path=customXml/itemProps1.xml><?xml version="1.0" encoding="utf-8"?>
<ds:datastoreItem xmlns:ds="http://schemas.openxmlformats.org/officeDocument/2006/customXml" ds:itemID="{F075F702-14D6-469E-998C-F6FEA39AFD2C}"/>
</file>

<file path=customXml/itemProps2.xml><?xml version="1.0" encoding="utf-8"?>
<ds:datastoreItem xmlns:ds="http://schemas.openxmlformats.org/officeDocument/2006/customXml" ds:itemID="{720AE7F5-C915-445E-90F8-D97B56BA78A0}"/>
</file>

<file path=customXml/itemProps3.xml><?xml version="1.0" encoding="utf-8"?>
<ds:datastoreItem xmlns:ds="http://schemas.openxmlformats.org/officeDocument/2006/customXml" ds:itemID="{58BAC64A-C76E-4166-9C90-FFC7DB450A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Existing Generation</vt:lpstr>
      <vt:lpstr>Generation Summary</vt:lpstr>
      <vt:lpstr>Existing Interconnections</vt:lpstr>
      <vt:lpstr>Planned Interconnections</vt:lpstr>
      <vt:lpstr>Existing Transmission</vt:lpstr>
      <vt:lpstr>Planned Transmission</vt:lpstr>
      <vt:lpstr>Planned Generation</vt:lpstr>
      <vt:lpstr>Additional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2026-02-20T04:00:36Z</dcterms:created>
  <dcterms:modified xsi:type="dcterms:W3CDTF">2026-02-26T21:38:55Z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0x0101002FB8EB67883F9C4AA4534F5269849BBD</vt:lpwstr>
  </property>
  <property fmtid="{D5CDD505-2E9C-101B-9397-08002B2CF9AE}" pid="3" name="MediaServiceImageTags">
    <vt:lpwstr/>
  </property>
</Properties>
</file>