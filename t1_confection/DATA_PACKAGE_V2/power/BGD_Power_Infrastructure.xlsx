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clgcr-my.sharepoint.com/personal/nvictor_clg-cr_com/Documents/TX_ASIA/0country infraestructure/"/>
    </mc:Choice>
  </mc:AlternateContent>
  <xr:revisionPtr revIDLastSave="3" documentId="8_{8C6FA71A-12E8-43AD-B9E9-658EEF0253B1}" xr6:coauthVersionLast="47" xr6:coauthVersionMax="47" xr10:uidLastSave="{7029248A-FA19-489E-9B29-E5CDB7EE9618}"/>
  <bookViews>
    <workbookView xWindow="-23148" yWindow="-1572" windowWidth="23256" windowHeight="12456" tabRatio="500" firstSheet="5" activeTab="5" xr2:uid="{00000000-000D-0000-FFFF-FFFF00000000}"/>
  </bookViews>
  <sheets>
    <sheet name="Existing Generation" sheetId="1" r:id="rId1"/>
    <sheet name="Generation Summary" sheetId="2" r:id="rId2"/>
    <sheet name="Existing Interconnections" sheetId="3" r:id="rId3"/>
    <sheet name="Planned Interconnections" sheetId="4" r:id="rId4"/>
    <sheet name="Existing Transmission" sheetId="5" r:id="rId5"/>
    <sheet name="Planned Transmission" sheetId="6" r:id="rId6"/>
    <sheet name="Planned Generation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5" l="1"/>
  <c r="B8" i="5"/>
  <c r="D7" i="5"/>
  <c r="D6" i="5"/>
  <c r="D5" i="5"/>
  <c r="F8" i="3"/>
  <c r="G141" i="1"/>
  <c r="F141" i="1"/>
</calcChain>
</file>

<file path=xl/sharedStrings.xml><?xml version="1.0" encoding="utf-8"?>
<sst xmlns="http://schemas.openxmlformats.org/spreadsheetml/2006/main" count="1559" uniqueCount="606">
  <si>
    <t>BANGLADESH — Existing Power Generation</t>
  </si>
  <si>
    <t>Source: BPDB Daily Generation Report (Feb 18, 2026) &amp; BPDB Power Generation Units (Feb 2026)</t>
  </si>
  <si>
    <t>Plant Name</t>
  </si>
  <si>
    <t>Zone</t>
  </si>
  <si>
    <t>Fuel Type</t>
  </si>
  <si>
    <t>Owner Type</t>
  </si>
  <si>
    <t>Owner</t>
  </si>
  <si>
    <t>Installed Capacity (MW)</t>
  </si>
  <si>
    <t>Derated Capacity (MW)</t>
  </si>
  <si>
    <t>Technology</t>
  </si>
  <si>
    <t>Status</t>
  </si>
  <si>
    <t>Notes</t>
  </si>
  <si>
    <t>Ghorasal Repowered CCPP Unit-3 (GT)</t>
  </si>
  <si>
    <t>Dhaka</t>
  </si>
  <si>
    <t>Gas</t>
  </si>
  <si>
    <t>PDB</t>
  </si>
  <si>
    <t>BPDB</t>
  </si>
  <si>
    <t>CCPP/GT</t>
  </si>
  <si>
    <t>Operational</t>
  </si>
  <si>
    <t>Under project work</t>
  </si>
  <si>
    <t>Ghorasal Repowered CCPP Unit-4</t>
  </si>
  <si>
    <t>CCPP</t>
  </si>
  <si>
    <t>Gas shortage</t>
  </si>
  <si>
    <t>Ghorasal TPP Unit-5</t>
  </si>
  <si>
    <t>Thermal</t>
  </si>
  <si>
    <t>Ghorasal 365 MW CCPP Unit-7</t>
  </si>
  <si>
    <t>Ghorashal 108MW PP (Regent)</t>
  </si>
  <si>
    <t>IPP</t>
  </si>
  <si>
    <t>Regent</t>
  </si>
  <si>
    <t>Peaking</t>
  </si>
  <si>
    <t>Tongi 80 MW GTPP</t>
  </si>
  <si>
    <t>GTPP</t>
  </si>
  <si>
    <t>Meghnaghat 450 MW CCPP (MPL)</t>
  </si>
  <si>
    <t>MPL</t>
  </si>
  <si>
    <t>210 MW Siddhirgonj TPP</t>
  </si>
  <si>
    <t>Partial</t>
  </si>
  <si>
    <t>Under Overhauling</t>
  </si>
  <si>
    <t>Haripur 412 MW CCPP</t>
  </si>
  <si>
    <t>EGCB</t>
  </si>
  <si>
    <t>Siddhirgonj 2x120 MW GTPP</t>
  </si>
  <si>
    <t>Siddhirganj 335 MW CCPP</t>
  </si>
  <si>
    <t>Meghnaghat 335MW CCPP (Summit)</t>
  </si>
  <si>
    <t>Summit</t>
  </si>
  <si>
    <t>Madanganj-55 MW PP (Summit)</t>
  </si>
  <si>
    <t>HFO</t>
  </si>
  <si>
    <t>Gagnagar 102 MW PP (Digital Power)</t>
  </si>
  <si>
    <t>Digital Power</t>
  </si>
  <si>
    <t>Summit Power Ashulia</t>
  </si>
  <si>
    <t>SIPP/REB</t>
  </si>
  <si>
    <t>Small PP</t>
  </si>
  <si>
    <t>Summit Power Madhabdi</t>
  </si>
  <si>
    <t>Gazipur 52 MW PP</t>
  </si>
  <si>
    <t>RPCL</t>
  </si>
  <si>
    <t>Gazipur 100 MW PP</t>
  </si>
  <si>
    <t>Kodda 150MW PP (BR-Power gen)</t>
  </si>
  <si>
    <t>BR-Power gen</t>
  </si>
  <si>
    <t>Kamalaghat 54 MW PP (Banco Energy)</t>
  </si>
  <si>
    <t>Banco Energy</t>
  </si>
  <si>
    <t>Kodda 300 MW PP Unit-2 (Summit)</t>
  </si>
  <si>
    <t>Kodda 149 MW PP Unit-1 (Summit)</t>
  </si>
  <si>
    <t>Nababganj 55 MW PP (Southern Power)</t>
  </si>
  <si>
    <t>Southern Power</t>
  </si>
  <si>
    <t>Manikganj 55 MW PP (Northern)</t>
  </si>
  <si>
    <t>Northern</t>
  </si>
  <si>
    <t>Meghnaghat 104 MW PP (OPSL)</t>
  </si>
  <si>
    <t>OPSL</t>
  </si>
  <si>
    <t>Manikgonj 162MW PP (MPGL)</t>
  </si>
  <si>
    <t>MPGL</t>
  </si>
  <si>
    <t>Manikgonj 35MW Solar PP (Inspectra Solar)</t>
  </si>
  <si>
    <t>Solar</t>
  </si>
  <si>
    <t>Inspectra Solar</t>
  </si>
  <si>
    <t>Solar PV</t>
  </si>
  <si>
    <t>Kanchan Purbachal Power Generation</t>
  </si>
  <si>
    <t>Kanchan Purbachal</t>
  </si>
  <si>
    <t>Unique Meghnaghat 584MW CCPP</t>
  </si>
  <si>
    <t>UMPL</t>
  </si>
  <si>
    <t>ST Under maintenance</t>
  </si>
  <si>
    <t>Meghnaghat 583 MW CCPP (Summit)</t>
  </si>
  <si>
    <t>Meghnaghat (Jera) 718MW CCPP</t>
  </si>
  <si>
    <t>JERA</t>
  </si>
  <si>
    <t>Sripur 150 MW (BR-Power gen)</t>
  </si>
  <si>
    <t>Karnaphuli Hydro PP Unit-1,2,3,4,5</t>
  </si>
  <si>
    <t>Chattogram</t>
  </si>
  <si>
    <t>Hydro</t>
  </si>
  <si>
    <t>Kaptai Lake</t>
  </si>
  <si>
    <t>Chattogram TPP</t>
  </si>
  <si>
    <t>Kaptai 7 MW Solar PP</t>
  </si>
  <si>
    <t>Raozan 25 MW PP</t>
  </si>
  <si>
    <t>Teknaf 20MW PP (Solartech)</t>
  </si>
  <si>
    <t>Solartech</t>
  </si>
  <si>
    <t>Patenga 50MW PP (Baraka)</t>
  </si>
  <si>
    <t>Baraka</t>
  </si>
  <si>
    <t>Sikalbaha 105 MW PP (Baraka Sikalbaha)</t>
  </si>
  <si>
    <t>Baraka Sikalbaha</t>
  </si>
  <si>
    <t>Shikalbaha Peaking GT</t>
  </si>
  <si>
    <t>Under Maintenance</t>
  </si>
  <si>
    <t>Sikalbaha 225 MW CCPP</t>
  </si>
  <si>
    <t>Anwara 300 MW PP (United)</t>
  </si>
  <si>
    <t>United</t>
  </si>
  <si>
    <t>Juldah 100 MW PP Unit-3 (Acorn)</t>
  </si>
  <si>
    <t>Acorn</t>
  </si>
  <si>
    <t>Dohazari-Kalaish 100 MW Peaking</t>
  </si>
  <si>
    <t>Hathazari 100 MW Peaking PP</t>
  </si>
  <si>
    <t>Chattogram 108 MW PP (ECPV)</t>
  </si>
  <si>
    <t>ECPV</t>
  </si>
  <si>
    <t>Sikalbaha 54 MW PP (Jodiac Power)</t>
  </si>
  <si>
    <t>Jodiac Power</t>
  </si>
  <si>
    <t>Karnaphuli Power Ltd.</t>
  </si>
  <si>
    <t>Karnaphuli Power</t>
  </si>
  <si>
    <t>Juldah Unit-2 (Acorn)</t>
  </si>
  <si>
    <t>Chattogram 116 MW PP (Anlima Energy)</t>
  </si>
  <si>
    <t>Anlima Energy</t>
  </si>
  <si>
    <t>Mirsharai 150 MW (BR-Power gen)</t>
  </si>
  <si>
    <t>SS Power 2x612MW Coal PP</t>
  </si>
  <si>
    <t>Coal</t>
  </si>
  <si>
    <t>SS Power</t>
  </si>
  <si>
    <t>Coastal coal plant</t>
  </si>
  <si>
    <t>Matarbari 2x600 MW (CPGCL)</t>
  </si>
  <si>
    <t>CPGCL</t>
  </si>
  <si>
    <t>Ultra Super Critical</t>
  </si>
  <si>
    <t>Cox's Bazar Wind PP</t>
  </si>
  <si>
    <t>Wind</t>
  </si>
  <si>
    <t>Ashuganj 50 MW PP</t>
  </si>
  <si>
    <t>Cumilla</t>
  </si>
  <si>
    <t>APSCL</t>
  </si>
  <si>
    <t>Ashuganj 225 MW CCPP</t>
  </si>
  <si>
    <t>Ashuganj 450 MW CCPP (South)</t>
  </si>
  <si>
    <t>Ashuganj 450 MW CCPP (North)</t>
  </si>
  <si>
    <t>Ashuganj 420 MW CCPP (East)</t>
  </si>
  <si>
    <t>Ashuganj 195MW PP (APSCL-United)</t>
  </si>
  <si>
    <t>APSCL-United</t>
  </si>
  <si>
    <t>Ashuganj 51 MW PP (Midland)</t>
  </si>
  <si>
    <t>Midland</t>
  </si>
  <si>
    <t>Ashuganj 150MW PP (Midland)</t>
  </si>
  <si>
    <t>Titas 50 MW Peaking PP</t>
  </si>
  <si>
    <t>Chandpur 150 MW CCPP</t>
  </si>
  <si>
    <t>Chandpur 200MW (Desh Energy)</t>
  </si>
  <si>
    <t>Desh Energy</t>
  </si>
  <si>
    <t>Jangalia 52 MW PP (Lakdanavi)</t>
  </si>
  <si>
    <t>Lakdanavi</t>
  </si>
  <si>
    <t>Cumilla 25 MW PP (Summit)</t>
  </si>
  <si>
    <t>Feni 114 MW (Lakdanavi)</t>
  </si>
  <si>
    <t>Chowmuhani 113 MW</t>
  </si>
  <si>
    <t>Chandpur 115MW PP (Doreen)</t>
  </si>
  <si>
    <t>Doreen</t>
  </si>
  <si>
    <t>Ashuganj 55 MW PP (Precision)</t>
  </si>
  <si>
    <t>NENP</t>
  </si>
  <si>
    <t>Precision</t>
  </si>
  <si>
    <t>Sonagazi 75 MW Solar Plant (EGCB)</t>
  </si>
  <si>
    <t>Test run</t>
  </si>
  <si>
    <t>RPCL 210MW CCPP</t>
  </si>
  <si>
    <t>Mymensingh</t>
  </si>
  <si>
    <t>Low gas pressure</t>
  </si>
  <si>
    <t>Jamalpur 115 MW PP (United)</t>
  </si>
  <si>
    <t>Mymensingh 200 MW PP (United)</t>
  </si>
  <si>
    <t>Sarishabari 3 MW Solar Plant</t>
  </si>
  <si>
    <t>Sutiakhali 50 MW Solar PP</t>
  </si>
  <si>
    <t>Bhairob 54 MW PP</t>
  </si>
  <si>
    <t>Tangail 22 MW PP (PPGL)</t>
  </si>
  <si>
    <t>PPGL</t>
  </si>
  <si>
    <t>Fenchugonj CCPP Phase-1</t>
  </si>
  <si>
    <t>Sylhet</t>
  </si>
  <si>
    <t>Fenchugonj CCPP Phase-2</t>
  </si>
  <si>
    <t>Kushiara 163 MW CCPP (KP)</t>
  </si>
  <si>
    <t>Kushiara Power</t>
  </si>
  <si>
    <t>Shahjibazar GTPP Unit-8 &amp; 9</t>
  </si>
  <si>
    <t>Unit-9 Under Maintenance</t>
  </si>
  <si>
    <t>Shajibazar 330 MW CCPP</t>
  </si>
  <si>
    <t>Sylhet 225 MW CCPP</t>
  </si>
  <si>
    <t>Sylhet 20 MW GTPP</t>
  </si>
  <si>
    <t>Shahjahanulla 25 MW PP</t>
  </si>
  <si>
    <t>CIPP/REB</t>
  </si>
  <si>
    <t>CIPP</t>
  </si>
  <si>
    <t>Bibiana-II 341 MW CCPP (Summit)</t>
  </si>
  <si>
    <t>Bibiyana-III 400 MW CCPP</t>
  </si>
  <si>
    <t>Bibiyana South 383 MW CCPP</t>
  </si>
  <si>
    <t>HGPI Due</t>
  </si>
  <si>
    <t>Shahjibazar 100 MW GTPP</t>
  </si>
  <si>
    <t>Shahjibazar 86MW PP (Shahjibazar)</t>
  </si>
  <si>
    <t>Shahjibazar</t>
  </si>
  <si>
    <t>Bheramara 410 MW CCPP</t>
  </si>
  <si>
    <t>Khulna</t>
  </si>
  <si>
    <t>NWPGCL</t>
  </si>
  <si>
    <t>Faridpur 50 MW Peaking PP</t>
  </si>
  <si>
    <t>Gopalganj 100 MW Peaking PP</t>
  </si>
  <si>
    <t>Khulna 225 MW CCPP</t>
  </si>
  <si>
    <t>HSD/Gas</t>
  </si>
  <si>
    <t>Rupsha 105 MW PP (Orion rupsha)</t>
  </si>
  <si>
    <t>Orion Rupsha</t>
  </si>
  <si>
    <t>Madhumati 100 MW PP</t>
  </si>
  <si>
    <t>Mongla Orion 100 MW Solar PP</t>
  </si>
  <si>
    <t>Orion</t>
  </si>
  <si>
    <t>Maitree Super Thermal 1320 MW PP (BIFPCL)</t>
  </si>
  <si>
    <t>BIFPCL</t>
  </si>
  <si>
    <t>Super Thermal</t>
  </si>
  <si>
    <t>India-Bangladesh JV (Rampal)</t>
  </si>
  <si>
    <t>Khulna 330 MW CCPP</t>
  </si>
  <si>
    <t>Gas/HSD</t>
  </si>
  <si>
    <t>Barisal 110 MW PP (Summit)</t>
  </si>
  <si>
    <t>Barishal</t>
  </si>
  <si>
    <t>Bhola 225 MW CCPP</t>
  </si>
  <si>
    <t>Payra 1320 MW TPP (BCPCL)</t>
  </si>
  <si>
    <t>BCPCL</t>
  </si>
  <si>
    <t>Potuakhali 150MW PP (UPPL)</t>
  </si>
  <si>
    <t>UPPL</t>
  </si>
  <si>
    <t>Barisal Electric 307 MW Coal</t>
  </si>
  <si>
    <t>Barisal 1 MW Solar PP</t>
  </si>
  <si>
    <t>Bhola 220MW CCPP (Nutan Bidyut BD)</t>
  </si>
  <si>
    <t>Nutan Bidyut BD</t>
  </si>
  <si>
    <t>Baghabari 71 MW GTPP</t>
  </si>
  <si>
    <t>Rajshahi</t>
  </si>
  <si>
    <t>Baghabari 100 MW GTPP</t>
  </si>
  <si>
    <t>Baghabari 50 MW Peaking PP</t>
  </si>
  <si>
    <t>Bera 70 MW Peaking PP</t>
  </si>
  <si>
    <t>Chapainawabganj 100 MW Peaking PP</t>
  </si>
  <si>
    <t>Katakhali 50 MW Peaking PP</t>
  </si>
  <si>
    <t>Santahar 50 MW Peaking PP</t>
  </si>
  <si>
    <t>Sirajgonj 225MW CCPP Unit-1</t>
  </si>
  <si>
    <t>Sirajgonj 225MW CCPP Unit-2</t>
  </si>
  <si>
    <t>Sirajgonj 225MW CCPP Unit-3</t>
  </si>
  <si>
    <t>Sirajgonj 400 MW CCPP Unit-4</t>
  </si>
  <si>
    <t>Natore 52 MW PP (Rajlanka)</t>
  </si>
  <si>
    <t>Rajlanka</t>
  </si>
  <si>
    <t>Bagura 113 MW PP (Confidence) U-1</t>
  </si>
  <si>
    <t>Confidence</t>
  </si>
  <si>
    <t>Bagura 113 MW PP (Confidence) U-2</t>
  </si>
  <si>
    <t>Sirajgonj 6.55 MW Solar</t>
  </si>
  <si>
    <t>Sirajganj 68 MW Solar Park</t>
  </si>
  <si>
    <t>Pabna Solar 100 MW</t>
  </si>
  <si>
    <t>Sirajgonj 2 MW Wind Power Plant</t>
  </si>
  <si>
    <t>Pabna 64 MW Solar Plant</t>
  </si>
  <si>
    <t>Barapukuria TPP Unit-1 &amp; 2</t>
  </si>
  <si>
    <t>Rangpur</t>
  </si>
  <si>
    <t>Unit-2 Under Maintenance</t>
  </si>
  <si>
    <t>Barapukuria 275 MW TPP Unit-3</t>
  </si>
  <si>
    <t>Rangpur 20 MW GTPP</t>
  </si>
  <si>
    <t>HSD</t>
  </si>
  <si>
    <t>Rangpur 113 MW PP (Confidence)</t>
  </si>
  <si>
    <t>Saidpur 20 MW GTPP</t>
  </si>
  <si>
    <t>Majipara Tatulia 8 MW Solar PP</t>
  </si>
  <si>
    <t>Sympa Power</t>
  </si>
  <si>
    <t>Thakurgaon 115MW PP (Energypac)</t>
  </si>
  <si>
    <t>Energypac</t>
  </si>
  <si>
    <t>Lalmonirhat 30 MW Solar (Intraco)</t>
  </si>
  <si>
    <t>Intraco</t>
  </si>
  <si>
    <t>Teesta Solar Limited 200 MW</t>
  </si>
  <si>
    <t>Teesta Solar</t>
  </si>
  <si>
    <t>Saidpur 150 MW Simple Cycle PP</t>
  </si>
  <si>
    <t>Simple Cycle</t>
  </si>
  <si>
    <t>Standby</t>
  </si>
  <si>
    <t>TOTAL</t>
  </si>
  <si>
    <t>BANGLADESH — Generation Capacity Summary</t>
  </si>
  <si>
    <t>Source: BPDB Power Generation Units (February 2026)</t>
  </si>
  <si>
    <t>INSTALLED CAPACITY BY FUEL TYPE (February 2026)</t>
  </si>
  <si>
    <t>HFO (Heavy Fuel Oil)</t>
  </si>
  <si>
    <t>HSD (High Speed Diesel)</t>
  </si>
  <si>
    <t>Imported Power</t>
  </si>
  <si>
    <t>Other</t>
  </si>
  <si>
    <t>PEAK DEMAND &amp; GENERATION DATA (2025)</t>
  </si>
  <si>
    <t>Metric</t>
  </si>
  <si>
    <t>Value</t>
  </si>
  <si>
    <t>Unit</t>
  </si>
  <si>
    <t>Date/Period</t>
  </si>
  <si>
    <t>All-time Maximum Generation</t>
  </si>
  <si>
    <t>MW</t>
  </si>
  <si>
    <t>23-Jul-2025 at 21:00</t>
  </si>
  <si>
    <t>Historical record</t>
  </si>
  <si>
    <t>Maximum Demand (recent peak)</t>
  </si>
  <si>
    <t>18-Feb-2026 (forecast)</t>
  </si>
  <si>
    <t>Evening peak</t>
  </si>
  <si>
    <t>Typical Evening Peak (Feb 2026)</t>
  </si>
  <si>
    <t>~12,080-12,500</t>
  </si>
  <si>
    <t>Feb 17-18, 2026</t>
  </si>
  <si>
    <t>Total Energy Generated (daily)</t>
  </si>
  <si>
    <t>MKWh</t>
  </si>
  <si>
    <t>17-Feb-2026</t>
  </si>
  <si>
    <t>Total Gas Supplied</t>
  </si>
  <si>
    <t>MMCFD</t>
  </si>
  <si>
    <t>Generation Shortfall - Gas Limitation</t>
  </si>
  <si>
    <t>Major constraint</t>
  </si>
  <si>
    <t>Generation Shortfall - Maintenance</t>
  </si>
  <si>
    <t>ZONE-WISE DEMAND (16-Feb-2026)</t>
  </si>
  <si>
    <t>Demand (MW)</t>
  </si>
  <si>
    <t>Load Shed (MW)</t>
  </si>
  <si>
    <t>Supply (MW)</t>
  </si>
  <si>
    <t>Chittagong</t>
  </si>
  <si>
    <t>Comilla</t>
  </si>
  <si>
    <t>Load shedding</t>
  </si>
  <si>
    <t>Barisal</t>
  </si>
  <si>
    <t>BANGLADESH — Existing Cross-Border Interconnections</t>
  </si>
  <si>
    <t>Source: BPDB Daily Generation Report, PGCB Transmission Information (Dec 2025)</t>
  </si>
  <si>
    <t>Project / Interconnection</t>
  </si>
  <si>
    <t>From Country</t>
  </si>
  <si>
    <t>To Country</t>
  </si>
  <si>
    <t>From Point</t>
  </si>
  <si>
    <t>To Point</t>
  </si>
  <si>
    <t>Capacity (MW)</t>
  </si>
  <si>
    <t>Voltage Level</t>
  </si>
  <si>
    <t>DC/AC</t>
  </si>
  <si>
    <t>Directionality</t>
  </si>
  <si>
    <t>Operational Date</t>
  </si>
  <si>
    <t>Bheramara HVDC Back-to-Back</t>
  </si>
  <si>
    <t>India</t>
  </si>
  <si>
    <t>Bangladesh</t>
  </si>
  <si>
    <t>Baharampur (West Bengal)</t>
  </si>
  <si>
    <t>Bheramara, Kushtia</t>
  </si>
  <si>
    <t>400 kV</t>
  </si>
  <si>
    <t>HVDC B2B</t>
  </si>
  <si>
    <t>Back-to-Back HVDC Station</t>
  </si>
  <si>
    <t>Bidirectional</t>
  </si>
  <si>
    <t>2013</t>
  </si>
  <si>
    <t>WBSEDCL-PGCB; 2x500 MW Back-to-Back station</t>
  </si>
  <si>
    <t>Comilla-Tripura Interconnection</t>
  </si>
  <si>
    <t>Palatana, Tripura</t>
  </si>
  <si>
    <t>132 kV</t>
  </si>
  <si>
    <t>AC</t>
  </si>
  <si>
    <t>Radial AC</t>
  </si>
  <si>
    <t>India→Bangladesh</t>
  </si>
  <si>
    <t>ONGC Tripura Power Co. 726MW plant supplies ~160MW to BD</t>
  </si>
  <si>
    <t>Adani Power Jharkhanda (Godda) Import</t>
  </si>
  <si>
    <t>Godda, Jharkhand</t>
  </si>
  <si>
    <t>Rajshahi Zone</t>
  </si>
  <si>
    <t>HVDC</t>
  </si>
  <si>
    <t>HVDC Transmission</t>
  </si>
  <si>
    <t>2023</t>
  </si>
  <si>
    <t>Dedicated coal plant; contracted 1,496 MW; ~1,436 MW dispatched</t>
  </si>
  <si>
    <t>Nepal Hydro Import (Trial)</t>
  </si>
  <si>
    <t>Nepal</t>
  </si>
  <si>
    <t>Nepal (via India)</t>
  </si>
  <si>
    <t>Khulna Zone</t>
  </si>
  <si>
    <t>DC</t>
  </si>
  <si>
    <t>HVDC via India</t>
  </si>
  <si>
    <t>Nepal→Bangladesh</t>
  </si>
  <si>
    <t>2025</t>
  </si>
  <si>
    <t>Trial/Partial</t>
  </si>
  <si>
    <t>40 MW trial import; routes through Indian grid</t>
  </si>
  <si>
    <t>TOTAL IMPORT CAPACITY</t>
  </si>
  <si>
    <t>BANGLADESH — Planned &amp; Proposed Cross-Border Interconnections</t>
  </si>
  <si>
    <t>Source: IEPMP 2023, Revisiting PSMP 2016, PGCB Plans</t>
  </si>
  <si>
    <t>Project</t>
  </si>
  <si>
    <t>Function</t>
  </si>
  <si>
    <t>Background / Rationale</t>
  </si>
  <si>
    <t>Expected COD</t>
  </si>
  <si>
    <t>Source</t>
  </si>
  <si>
    <t>Barapukuria HVDC B2B Station</t>
  </si>
  <si>
    <t>India (West Bengal/Bihar)</t>
  </si>
  <si>
    <t>Barapukuria, Dinajpur</t>
  </si>
  <si>
    <t>Power Import</t>
  </si>
  <si>
    <t>500-1,000</t>
  </si>
  <si>
    <t>Second back-to-back station to diversify interconnection points</t>
  </si>
  <si>
    <t>2030 target</t>
  </si>
  <si>
    <t>Planned</t>
  </si>
  <si>
    <t>IEPMP 2023 / Revisiting PSMP 2016</t>
  </si>
  <si>
    <t>Cumilla HVDC B2B Station</t>
  </si>
  <si>
    <t>India (Tripura / West Bengal)</t>
  </si>
  <si>
    <t>Expand Comilla interconnection capacity to reduce reliance on single point</t>
  </si>
  <si>
    <t>2030-2035</t>
  </si>
  <si>
    <t>Jamalpur HVDC B2B Station</t>
  </si>
  <si>
    <t>India (Bihar / Assam)</t>
  </si>
  <si>
    <t>Jamalpur</t>
  </si>
  <si>
    <t>North-central Bangladesh interconnection point for Nepal/Bhutan transit</t>
  </si>
  <si>
    <t>Proposed</t>
  </si>
  <si>
    <t>IEPMP 2023</t>
  </si>
  <si>
    <t>Sylhet HVDC B2B Station</t>
  </si>
  <si>
    <t>India (Meghalaya / Assam)</t>
  </si>
  <si>
    <t>Northeastern grid connection</t>
  </si>
  <si>
    <t>2035+</t>
  </si>
  <si>
    <t>Nepal Hydro Import - Dedicated Line</t>
  </si>
  <si>
    <t>Nepal (via Siliguri corridor)</t>
  </si>
  <si>
    <t>North Bangladesh</t>
  </si>
  <si>
    <t>400 kV / 765 kV</t>
  </si>
  <si>
    <t>Clean Energy Import</t>
  </si>
  <si>
    <t>500-2,000</t>
  </si>
  <si>
    <t>AC Radial or HVDC</t>
  </si>
  <si>
    <t>Nepal surplus hydro; clean energy import; routes through narrow India corridor</t>
  </si>
  <si>
    <t>Under Study</t>
  </si>
  <si>
    <t>Bhutan Hydro Import - Dedicated Line</t>
  </si>
  <si>
    <t>Bhutan</t>
  </si>
  <si>
    <t>Bhutan (via Siliguri corridor)</t>
  </si>
  <si>
    <t>AC Radial or Synchronous AC</t>
  </si>
  <si>
    <t>Bhutan surplus hydropower; both radial and synchronous AC modes under consideration</t>
  </si>
  <si>
    <t>Second Bheramara HVDC Expansion</t>
  </si>
  <si>
    <t>Baharampur, West Bengal</t>
  </si>
  <si>
    <t>Bheramara</t>
  </si>
  <si>
    <t>Capacity Expansion</t>
  </si>
  <si>
    <t>500</t>
  </si>
  <si>
    <t>Expand existing B2B station capacity</t>
  </si>
  <si>
    <t>2028-2030</t>
  </si>
  <si>
    <t>PGCB / IEPMP 2023</t>
  </si>
  <si>
    <t>Myanmar Cross-Border Link</t>
  </si>
  <si>
    <t>Myanmar</t>
  </si>
  <si>
    <t>Myanmar (Arakan)</t>
  </si>
  <si>
    <t>Chittagong Region</t>
  </si>
  <si>
    <t>TBD</t>
  </si>
  <si>
    <t>Potential Import</t>
  </si>
  <si>
    <t>Future option; Bangladesh does not share border with Myanmar directly</t>
  </si>
  <si>
    <t>Post 2041</t>
  </si>
  <si>
    <t>Conceptual</t>
  </si>
  <si>
    <t>BANGLADESH — Existing Transmission Infrastructure</t>
  </si>
  <si>
    <t>Source: PGCB Transmission Information (December 2025)</t>
  </si>
  <si>
    <t>TRANSMISSION LINES (as of December 2025)</t>
  </si>
  <si>
    <t>Circuit km (PGCB)</t>
  </si>
  <si>
    <t>Circuit km (Others)</t>
  </si>
  <si>
    <t>Total Circuit km</t>
  </si>
  <si>
    <t>Backbone transmission</t>
  </si>
  <si>
    <t>230 kV</t>
  </si>
  <si>
    <t>SUBSTATIONS (as of December 2025)</t>
  </si>
  <si>
    <t>Type / Voltage</t>
  </si>
  <si>
    <t>Number (PGCB)</t>
  </si>
  <si>
    <t>Number (Others)</t>
  </si>
  <si>
    <t>Capacity (MVA)</t>
  </si>
  <si>
    <t>400 kV HVDC B2B</t>
  </si>
  <si>
    <t>2x500 MW</t>
  </si>
  <si>
    <t>Back-to-Back HVDC station (Bheramara)</t>
  </si>
  <si>
    <t>400/230 kV</t>
  </si>
  <si>
    <t>14,180 + 2,730 MVA (Others)</t>
  </si>
  <si>
    <t>400/132 kV</t>
  </si>
  <si>
    <t>3,940</t>
  </si>
  <si>
    <t>230/132 kV</t>
  </si>
  <si>
    <t>22,325 + 850 MVA (Others)</t>
  </si>
  <si>
    <t>230/33 kV</t>
  </si>
  <si>
    <t>560 + 1,050 MVA (Others)</t>
  </si>
  <si>
    <t>132/33 kV</t>
  </si>
  <si>
    <t>32,437 + 7,661 MVA (Others)</t>
  </si>
  <si>
    <t>N/A</t>
  </si>
  <si>
    <t>Overall capacity; Dispatch at 33kV: 37,537 MW</t>
  </si>
  <si>
    <t>LAST 5 YEARS TRANSMISSION ADDITIONS</t>
  </si>
  <si>
    <t>Category</t>
  </si>
  <si>
    <t>Additions</t>
  </si>
  <si>
    <t>400/230 kV Substations</t>
  </si>
  <si>
    <t>8 Nos.</t>
  </si>
  <si>
    <t>Units</t>
  </si>
  <si>
    <t>12,100 MVA added</t>
  </si>
  <si>
    <t>400/132 kV Substations</t>
  </si>
  <si>
    <t>3 Nos.</t>
  </si>
  <si>
    <t>2,665 MVA added</t>
  </si>
  <si>
    <t>230/132 kV Substations</t>
  </si>
  <si>
    <t>10 Nos.</t>
  </si>
  <si>
    <t>7,550 MVA added</t>
  </si>
  <si>
    <t>230/33 kV Substations</t>
  </si>
  <si>
    <t>2 Nos.</t>
  </si>
  <si>
    <t>420 MVA added</t>
  </si>
  <si>
    <t>132/33 kV Substations</t>
  </si>
  <si>
    <t>39 Nos.</t>
  </si>
  <si>
    <t>7,894 MVA added</t>
  </si>
  <si>
    <t>400 kV Transmission Lines</t>
  </si>
  <si>
    <t>Circuit km</t>
  </si>
  <si>
    <t>230 kV Transmission Lines</t>
  </si>
  <si>
    <t>132 kV Transmission Lines</t>
  </si>
  <si>
    <t>BANGLADESH — Planned Transmission Projects</t>
  </si>
  <si>
    <t>From</t>
  </si>
  <si>
    <t>To</t>
  </si>
  <si>
    <t>Capacity</t>
  </si>
  <si>
    <t>Background</t>
  </si>
  <si>
    <t>Matarbari-Dhaka 400 kV Transmission Line</t>
  </si>
  <si>
    <t>Matarbari Power Hub, Cox's Bazar</t>
  </si>
  <si>
    <t>Power evacuation</t>
  </si>
  <si>
    <t>Large</t>
  </si>
  <si>
    <t>Transmit power from southern coastal coal/LNG plants northward to Dhaka; under construction</t>
  </si>
  <si>
    <t>2025-2026</t>
  </si>
  <si>
    <t>Under Construction</t>
  </si>
  <si>
    <t>IEPMP 2023 / PGCB</t>
  </si>
  <si>
    <t>765 kV Backbone Transmission Line (South-North)</t>
  </si>
  <si>
    <t>Moheshkhali / Mirsarai Power Hubs</t>
  </si>
  <si>
    <t>765 kV</t>
  </si>
  <si>
    <t>Power evacuation / backbone</t>
  </si>
  <si>
    <t>Very Large</t>
  </si>
  <si>
    <t>Plan to construct 765 kV line from southern coastal power plants to Dhaka to handle large south-to-north power flow</t>
  </si>
  <si>
    <t>2030+</t>
  </si>
  <si>
    <t>Planning</t>
  </si>
  <si>
    <t>400 kV Ring Around Dhaka</t>
  </si>
  <si>
    <t>Dhaka Metropolitan Area</t>
  </si>
  <si>
    <t>Dhaka Ring</t>
  </si>
  <si>
    <t>Reliability / urban supply</t>
  </si>
  <si>
    <t>~19,000 MW demand by 2041</t>
  </si>
  <si>
    <t>Demand in Dhaka region (DPDC+DESCO) expected ~19,000 MW by 2041; ring line planned for reliability</t>
  </si>
  <si>
    <t>Rooppur NPP Dedicated Transmission</t>
  </si>
  <si>
    <t>Rooppur Nuclear Power Plant, Pabna</t>
  </si>
  <si>
    <t>National Grid</t>
  </si>
  <si>
    <t>Nuclear power evacuation</t>
  </si>
  <si>
    <t>2,400 MW (2x1,200)</t>
  </si>
  <si>
    <t>Dedicated N-2 redundant transmission for nuclear plant safety; UFLS and SPS systems required</t>
  </si>
  <si>
    <t>2024-2026</t>
  </si>
  <si>
    <t>400 kV Zonal Expansion (All Zones)</t>
  </si>
  <si>
    <t>All regions</t>
  </si>
  <si>
    <t>Dhaka Hub</t>
  </si>
  <si>
    <t>National backbone</t>
  </si>
  <si>
    <t>System-wide</t>
  </si>
  <si>
    <t>Every zone of the country to be connected to Dhaka with a 400 kV transmission line</t>
  </si>
  <si>
    <t>2025-2035</t>
  </si>
  <si>
    <t>Rolling Plan</t>
  </si>
  <si>
    <t>HVDC B2B at Barapukuria</t>
  </si>
  <si>
    <t>India border (North)</t>
  </si>
  <si>
    <t>400 kV HVDC</t>
  </si>
  <si>
    <t>Cross-border import</t>
  </si>
  <si>
    <t>500-1,000 MW</t>
  </si>
  <si>
    <t>New B2B station to expand import from India's northern grid; diversify interconnection points</t>
  </si>
  <si>
    <t>2028-2032</t>
  </si>
  <si>
    <t>Revisiting PSMP 2016</t>
  </si>
  <si>
    <t>Matarbari Port 400 kV Substation</t>
  </si>
  <si>
    <t>Matarbari</t>
  </si>
  <si>
    <t>Southern Grid</t>
  </si>
  <si>
    <t>LNG/coal hub connectivity</t>
  </si>
  <si>
    <t>Power hub connectivity for offshore LNG terminal and coal import facilities</t>
  </si>
  <si>
    <t>2025-2027</t>
  </si>
  <si>
    <t>Under Development</t>
  </si>
  <si>
    <t>Economic Zones Transmission Expansion</t>
  </si>
  <si>
    <t>Various EZ locations</t>
  </si>
  <si>
    <t>Industrial supply</t>
  </si>
  <si>
    <t>As required</t>
  </si>
  <si>
    <t>Expansion of transmission lines and substations for uninterrupted supply to all Economic Zones (BEZA)</t>
  </si>
  <si>
    <t>Ongoing</t>
  </si>
  <si>
    <t>PGCB / GOB</t>
  </si>
  <si>
    <t>Ghorashal-Ishwardi 230 kV Reconductoring</t>
  </si>
  <si>
    <t>Ghorashal</t>
  </si>
  <si>
    <t>Ishwardi</t>
  </si>
  <si>
    <t>Capacity upgrade</t>
  </si>
  <si>
    <t>Circuit upgrade</t>
  </si>
  <si>
    <t>Reconductoring of existing circuit to increase transfer capacity; ongoing work (noted in Feb 2026 dispatch reports)</t>
  </si>
  <si>
    <t>2026</t>
  </si>
  <si>
    <t>PGCB NLDC</t>
  </si>
  <si>
    <t>Bhulta-Rampura 230 kV Ckt-4</t>
  </si>
  <si>
    <t>Bhulta 400/230kV S/S</t>
  </si>
  <si>
    <t>Rampura</t>
  </si>
  <si>
    <t>Urban reliability</t>
  </si>
  <si>
    <t>Circuit</t>
  </si>
  <si>
    <t>New circuit to strengthen supply to Dhaka; OPGW installation ongoing</t>
  </si>
  <si>
    <t>BANGLADESH — Planned &amp; Committed Generation Projects</t>
  </si>
  <si>
    <t>Source: IEPMP 2023, BPDB Daily Reports (Feb 2026)</t>
  </si>
  <si>
    <t>Project / Plant</t>
  </si>
  <si>
    <t>Zone / Location</t>
  </si>
  <si>
    <t>Developer</t>
  </si>
  <si>
    <t>Notes / Source</t>
  </si>
  <si>
    <t>Rooppur Nuclear Power Plant Unit-1</t>
  </si>
  <si>
    <t>Rajshahi Zone, Pabna</t>
  </si>
  <si>
    <t>Nuclear</t>
  </si>
  <si>
    <t>PWR (Pressurized Water Reactor)</t>
  </si>
  <si>
    <t>NPCBL / Rosatom (Russia)</t>
  </si>
  <si>
    <t>Under Construction / Test</t>
  </si>
  <si>
    <t>2024-2025 (delayed)</t>
  </si>
  <si>
    <t>2×1,200 MW; ~2,400 MW total; financed by Russia</t>
  </si>
  <si>
    <t>Rooppur Nuclear Power Plant Unit-2</t>
  </si>
  <si>
    <t>PWR</t>
  </si>
  <si>
    <t>2025-2026 (delayed)</t>
  </si>
  <si>
    <t>2×1,200 MW total; IEPMP 2023</t>
  </si>
  <si>
    <t>Patuakhali 1320 MW Coal PP (RNPL)</t>
  </si>
  <si>
    <t>Barishal Zone</t>
  </si>
  <si>
    <t>Thermal (2×660 MW)</t>
  </si>
  <si>
    <t>Test Run</t>
  </si>
  <si>
    <t>Test run noted in Feb 2026 daily report</t>
  </si>
  <si>
    <t>Rupsha 800 MW CCPP</t>
  </si>
  <si>
    <t>Cumilla Zone</t>
  </si>
  <si>
    <t>Test Run / Commissioning</t>
  </si>
  <si>
    <t>Moulvibazar 10 MW Solar Power Plant</t>
  </si>
  <si>
    <t>Sylhet Zone</t>
  </si>
  <si>
    <t>Noted in daily reports</t>
  </si>
  <si>
    <t>Additional LNG-based Gas Power (Multiple)</t>
  </si>
  <si>
    <t>Various</t>
  </si>
  <si>
    <t>Gas/LNG</t>
  </si>
  <si>
    <t>Various IPP/PDB</t>
  </si>
  <si>
    <t>Committed Pipeline</t>
  </si>
  <si>
    <t>2025-2030</t>
  </si>
  <si>
    <t>Per IEPMP 2023: Committed capacity ~19.6 GW by 2030 (In-Between scenario)</t>
  </si>
  <si>
    <t>Large-scale Solar Expansion</t>
  </si>
  <si>
    <t>Solar PV / Utility</t>
  </si>
  <si>
    <t>Various IPP</t>
  </si>
  <si>
    <t>Planning/Committed</t>
  </si>
  <si>
    <t>IEPMP targets significant renewable expansion; PP2041 target 40% clean energy</t>
  </si>
  <si>
    <t>Offshore Wind (Pilot)</t>
  </si>
  <si>
    <t>Bay of Bengal coast</t>
  </si>
  <si>
    <t>Offshore Wind</t>
  </si>
  <si>
    <t>Pre-Feasibility</t>
  </si>
  <si>
    <t>Offshore wind potential identified in National Solar Energy Roadmap (Draft 2021-2041)</t>
  </si>
  <si>
    <t>Ammonia Co-firing (Coal Plants)</t>
  </si>
  <si>
    <t>Coal plant sites</t>
  </si>
  <si>
    <t>Coal/NH3</t>
  </si>
  <si>
    <t>Retrofit</t>
  </si>
  <si>
    <t>20% NH3 co-firing</t>
  </si>
  <si>
    <t>Existing operators</t>
  </si>
  <si>
    <t>IEPMP 2023 target: 20% ammonia co-firing from 2035</t>
  </si>
  <si>
    <t>Hydrogen Co-firing (Gas Plants)</t>
  </si>
  <si>
    <t>Gas plant sites</t>
  </si>
  <si>
    <t>Gas/H2</t>
  </si>
  <si>
    <t>20% H2 co-firing</t>
  </si>
  <si>
    <t>2037+</t>
  </si>
  <si>
    <t>IEPMP 2023 target: 20% H2 co-firing from 2037</t>
  </si>
  <si>
    <t>CCS on Gas Power Plants</t>
  </si>
  <si>
    <t>Various gas plant sites</t>
  </si>
  <si>
    <t>Gas + CCS</t>
  </si>
  <si>
    <t>Multiple</t>
  </si>
  <si>
    <t>Gas+CCS</t>
  </si>
  <si>
    <t>2040+</t>
  </si>
  <si>
    <t>IEPMP 2023 long-term decarbonization pathway</t>
  </si>
  <si>
    <t>Hydrogen-fired Power Plants</t>
  </si>
  <si>
    <t>Hydrogen</t>
  </si>
  <si>
    <t>H2 combustion</t>
  </si>
  <si>
    <t>IEPMP 2023 long-term plan</t>
  </si>
  <si>
    <t>Total New Capacity Target (2030) - In-Between</t>
  </si>
  <si>
    <t>National</t>
  </si>
  <si>
    <t>Mixed</t>
  </si>
  <si>
    <t>Target</t>
  </si>
  <si>
    <t>2030</t>
  </si>
  <si>
    <t>IEPMP 2023: 13.9 GW net capacity addition 2021-2030 (In-Between scenario)</t>
  </si>
  <si>
    <t>Total New Capacity Target (2041) - In-Between</t>
  </si>
  <si>
    <t>2041</t>
  </si>
  <si>
    <t>IEPMP 2023: Additional 27.7 GW net 2031-2041 (In-Between scenario)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</si>
</sst>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color rgb="FF1B5E2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F5F5F5"/>
        <bgColor rgb="FFF1F8E9"/>
      </patternFill>
    </fill>
    <fill>
      <patternFill patternType="solid">
        <fgColor rgb="FF388E3C"/>
        <bgColor rgb="FF2E7D32"/>
      </patternFill>
    </fill>
    <fill>
      <patternFill patternType="solid">
        <fgColor rgb="FFF1F8E9"/>
        <bgColor rgb="FFF5F5F5"/>
      </patternFill>
    </fill>
    <fill>
      <patternFill patternType="solid">
        <fgColor rgb="FFFFFFFF"/>
        <bgColor rgb="FFF5F5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999999"/>
      </top>
      <bottom style="thin">
        <color rgb="FF999999"/>
      </bottom>
      <diagonal/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6A1B9A"/>
      <rgbColor rgb="FF008080"/>
      <rgbColor rgb="FFCCCCCC"/>
      <rgbColor rgb="FF808080"/>
      <rgbColor rgb="FF9999FF"/>
      <rgbColor rgb="FF993366"/>
      <rgbColor rgb="FFF1F8E9"/>
      <rgbColor rgb="FFEEEEEE"/>
      <rgbColor rgb="FF4A148C"/>
      <rgbColor rgb="FFFF8080"/>
      <rgbColor rgb="FF1565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555555"/>
      <rgbColor rgb="FF999999"/>
      <rgbColor rgb="FF0D47A1"/>
      <rgbColor rgb="FF388E3C"/>
      <rgbColor rgb="FF003300"/>
      <rgbColor rgb="FF333300"/>
      <rgbColor rgb="FF993300"/>
      <rgbColor rgb="FF993366"/>
      <rgbColor rgb="FF333399"/>
      <rgbColor rgb="FF1B5E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5E20"/>
  </sheetPr>
  <dimension ref="A1:L141"/>
  <sheetViews>
    <sheetView zoomScaleNormal="100" workbookViewId="0">
      <pane ySplit="3" topLeftCell="A123" activePane="bottomLeft" state="frozen"/>
      <selection pane="bottomLeft" activeCell="A4" sqref="A4:A140"/>
    </sheetView>
  </sheetViews>
  <sheetFormatPr defaultColWidth="8.7109375" defaultRowHeight="14.45"/>
  <cols>
    <col min="1" max="1" width="45" customWidth="1"/>
    <col min="2" max="2" width="14" customWidth="1"/>
    <col min="3" max="4" width="10" customWidth="1"/>
    <col min="5" max="7" width="20" customWidth="1"/>
    <col min="8" max="8" width="22" customWidth="1"/>
    <col min="9" max="9" width="14" customWidth="1"/>
    <col min="10" max="10" width="35" customWidth="1"/>
  </cols>
  <sheetData>
    <row r="1" spans="1:12" ht="30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9.5" customHeigh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34.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2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>
        <v>260</v>
      </c>
      <c r="G4" s="2">
        <v>260</v>
      </c>
      <c r="H4" s="2" t="s">
        <v>17</v>
      </c>
      <c r="I4" s="2" t="s">
        <v>18</v>
      </c>
      <c r="J4" s="2" t="s">
        <v>19</v>
      </c>
    </row>
    <row r="5" spans="1:12">
      <c r="A5" s="3" t="s">
        <v>20</v>
      </c>
      <c r="B5" s="3" t="s">
        <v>13</v>
      </c>
      <c r="C5" s="3" t="s">
        <v>14</v>
      </c>
      <c r="D5" s="3" t="s">
        <v>15</v>
      </c>
      <c r="E5" s="3" t="s">
        <v>16</v>
      </c>
      <c r="F5" s="3">
        <v>210</v>
      </c>
      <c r="G5" s="3">
        <v>180</v>
      </c>
      <c r="H5" s="3" t="s">
        <v>21</v>
      </c>
      <c r="I5" s="3" t="s">
        <v>18</v>
      </c>
      <c r="J5" s="3" t="s">
        <v>22</v>
      </c>
    </row>
    <row r="6" spans="1:12">
      <c r="A6" s="2" t="s">
        <v>23</v>
      </c>
      <c r="B6" s="2" t="s">
        <v>13</v>
      </c>
      <c r="C6" s="2" t="s">
        <v>14</v>
      </c>
      <c r="D6" s="2" t="s">
        <v>15</v>
      </c>
      <c r="E6" s="2" t="s">
        <v>16</v>
      </c>
      <c r="F6" s="2">
        <v>210</v>
      </c>
      <c r="G6" s="2">
        <v>190</v>
      </c>
      <c r="H6" s="2" t="s">
        <v>24</v>
      </c>
      <c r="I6" s="2" t="s">
        <v>18</v>
      </c>
      <c r="J6" s="2" t="s">
        <v>22</v>
      </c>
    </row>
    <row r="7" spans="1:12">
      <c r="A7" s="3" t="s">
        <v>25</v>
      </c>
      <c r="B7" s="3" t="s">
        <v>13</v>
      </c>
      <c r="C7" s="3" t="s">
        <v>14</v>
      </c>
      <c r="D7" s="3" t="s">
        <v>15</v>
      </c>
      <c r="E7" s="3" t="s">
        <v>16</v>
      </c>
      <c r="F7" s="3">
        <v>365</v>
      </c>
      <c r="G7" s="3">
        <v>365</v>
      </c>
      <c r="H7" s="3" t="s">
        <v>21</v>
      </c>
      <c r="I7" s="3" t="s">
        <v>18</v>
      </c>
      <c r="J7" s="3" t="s">
        <v>22</v>
      </c>
    </row>
    <row r="8" spans="1:12">
      <c r="A8" s="2" t="s">
        <v>26</v>
      </c>
      <c r="B8" s="2" t="s">
        <v>13</v>
      </c>
      <c r="C8" s="2" t="s">
        <v>14</v>
      </c>
      <c r="D8" s="2" t="s">
        <v>27</v>
      </c>
      <c r="E8" s="2" t="s">
        <v>28</v>
      </c>
      <c r="F8" s="2">
        <v>108</v>
      </c>
      <c r="G8" s="2">
        <v>108</v>
      </c>
      <c r="H8" s="2" t="s">
        <v>29</v>
      </c>
      <c r="I8" s="2" t="s">
        <v>18</v>
      </c>
      <c r="J8" s="2" t="s">
        <v>22</v>
      </c>
    </row>
    <row r="9" spans="1:12">
      <c r="A9" s="3" t="s">
        <v>30</v>
      </c>
      <c r="B9" s="3" t="s">
        <v>13</v>
      </c>
      <c r="C9" s="3" t="s">
        <v>14</v>
      </c>
      <c r="D9" s="3" t="s">
        <v>15</v>
      </c>
      <c r="E9" s="3" t="s">
        <v>16</v>
      </c>
      <c r="F9" s="3">
        <v>105</v>
      </c>
      <c r="G9" s="3">
        <v>105</v>
      </c>
      <c r="H9" s="3" t="s">
        <v>31</v>
      </c>
      <c r="I9" s="3" t="s">
        <v>18</v>
      </c>
      <c r="J9" s="3" t="s">
        <v>22</v>
      </c>
    </row>
    <row r="10" spans="1:12">
      <c r="A10" s="2" t="s">
        <v>32</v>
      </c>
      <c r="B10" s="2" t="s">
        <v>13</v>
      </c>
      <c r="C10" s="2" t="s">
        <v>14</v>
      </c>
      <c r="D10" s="2" t="s">
        <v>27</v>
      </c>
      <c r="E10" s="2" t="s">
        <v>33</v>
      </c>
      <c r="F10" s="2">
        <v>450</v>
      </c>
      <c r="G10" s="2">
        <v>450</v>
      </c>
      <c r="H10" s="2" t="s">
        <v>21</v>
      </c>
      <c r="I10" s="2" t="s">
        <v>18</v>
      </c>
      <c r="J10" s="2" t="s">
        <v>22</v>
      </c>
    </row>
    <row r="11" spans="1:12">
      <c r="A11" s="3" t="s">
        <v>34</v>
      </c>
      <c r="B11" s="3" t="s">
        <v>13</v>
      </c>
      <c r="C11" s="3" t="s">
        <v>14</v>
      </c>
      <c r="D11" s="3" t="s">
        <v>15</v>
      </c>
      <c r="E11" s="3" t="s">
        <v>16</v>
      </c>
      <c r="F11" s="3">
        <v>210</v>
      </c>
      <c r="G11" s="3">
        <v>115</v>
      </c>
      <c r="H11" s="3" t="s">
        <v>24</v>
      </c>
      <c r="I11" s="3" t="s">
        <v>35</v>
      </c>
      <c r="J11" s="3" t="s">
        <v>36</v>
      </c>
    </row>
    <row r="12" spans="1:12">
      <c r="A12" s="2" t="s">
        <v>37</v>
      </c>
      <c r="B12" s="2" t="s">
        <v>13</v>
      </c>
      <c r="C12" s="2" t="s">
        <v>14</v>
      </c>
      <c r="D12" s="2" t="s">
        <v>38</v>
      </c>
      <c r="E12" s="2" t="s">
        <v>38</v>
      </c>
      <c r="F12" s="2">
        <v>412</v>
      </c>
      <c r="G12" s="2">
        <v>400</v>
      </c>
      <c r="H12" s="2" t="s">
        <v>21</v>
      </c>
      <c r="I12" s="2" t="s">
        <v>18</v>
      </c>
      <c r="J12" s="2"/>
    </row>
    <row r="13" spans="1:12">
      <c r="A13" s="3" t="s">
        <v>39</v>
      </c>
      <c r="B13" s="3" t="s">
        <v>13</v>
      </c>
      <c r="C13" s="3" t="s">
        <v>14</v>
      </c>
      <c r="D13" s="3" t="s">
        <v>38</v>
      </c>
      <c r="E13" s="3" t="s">
        <v>38</v>
      </c>
      <c r="F13" s="3">
        <v>210</v>
      </c>
      <c r="G13" s="3">
        <v>208</v>
      </c>
      <c r="H13" s="3" t="s">
        <v>31</v>
      </c>
      <c r="I13" s="3" t="s">
        <v>18</v>
      </c>
      <c r="J13" s="3" t="s">
        <v>22</v>
      </c>
    </row>
    <row r="14" spans="1:12">
      <c r="A14" s="2" t="s">
        <v>40</v>
      </c>
      <c r="B14" s="2" t="s">
        <v>13</v>
      </c>
      <c r="C14" s="2" t="s">
        <v>14</v>
      </c>
      <c r="D14" s="2" t="s">
        <v>38</v>
      </c>
      <c r="E14" s="2" t="s">
        <v>38</v>
      </c>
      <c r="F14" s="2">
        <v>335</v>
      </c>
      <c r="G14" s="2">
        <v>335</v>
      </c>
      <c r="H14" s="2" t="s">
        <v>21</v>
      </c>
      <c r="I14" s="2" t="s">
        <v>18</v>
      </c>
      <c r="J14" s="2"/>
    </row>
    <row r="15" spans="1:12">
      <c r="A15" s="3" t="s">
        <v>41</v>
      </c>
      <c r="B15" s="3" t="s">
        <v>13</v>
      </c>
      <c r="C15" s="3" t="s">
        <v>14</v>
      </c>
      <c r="D15" s="3" t="s">
        <v>27</v>
      </c>
      <c r="E15" s="3" t="s">
        <v>42</v>
      </c>
      <c r="F15" s="3">
        <v>335</v>
      </c>
      <c r="G15" s="3">
        <v>335</v>
      </c>
      <c r="H15" s="3" t="s">
        <v>21</v>
      </c>
      <c r="I15" s="3" t="s">
        <v>18</v>
      </c>
      <c r="J15" s="3" t="s">
        <v>22</v>
      </c>
    </row>
    <row r="16" spans="1:12">
      <c r="A16" s="2" t="s">
        <v>43</v>
      </c>
      <c r="B16" s="2" t="s">
        <v>13</v>
      </c>
      <c r="C16" s="2" t="s">
        <v>44</v>
      </c>
      <c r="D16" s="2" t="s">
        <v>27</v>
      </c>
      <c r="E16" s="2" t="s">
        <v>42</v>
      </c>
      <c r="F16" s="2">
        <v>55</v>
      </c>
      <c r="G16" s="2">
        <v>55</v>
      </c>
      <c r="H16" s="2" t="s">
        <v>29</v>
      </c>
      <c r="I16" s="2" t="s">
        <v>18</v>
      </c>
      <c r="J16" s="2"/>
    </row>
    <row r="17" spans="1:10">
      <c r="A17" s="3" t="s">
        <v>45</v>
      </c>
      <c r="B17" s="3" t="s">
        <v>13</v>
      </c>
      <c r="C17" s="3" t="s">
        <v>44</v>
      </c>
      <c r="D17" s="3" t="s">
        <v>27</v>
      </c>
      <c r="E17" s="3" t="s">
        <v>46</v>
      </c>
      <c r="F17" s="3">
        <v>102</v>
      </c>
      <c r="G17" s="3">
        <v>102</v>
      </c>
      <c r="H17" s="3" t="s">
        <v>29</v>
      </c>
      <c r="I17" s="3" t="s">
        <v>18</v>
      </c>
      <c r="J17" s="3"/>
    </row>
    <row r="18" spans="1:10">
      <c r="A18" s="2" t="s">
        <v>47</v>
      </c>
      <c r="B18" s="2" t="s">
        <v>13</v>
      </c>
      <c r="C18" s="2" t="s">
        <v>14</v>
      </c>
      <c r="D18" s="2" t="s">
        <v>48</v>
      </c>
      <c r="E18" s="2" t="s">
        <v>42</v>
      </c>
      <c r="F18" s="2">
        <v>45</v>
      </c>
      <c r="G18" s="2">
        <v>45</v>
      </c>
      <c r="H18" s="2" t="s">
        <v>49</v>
      </c>
      <c r="I18" s="2" t="s">
        <v>18</v>
      </c>
      <c r="J18" s="2"/>
    </row>
    <row r="19" spans="1:10">
      <c r="A19" s="3" t="s">
        <v>50</v>
      </c>
      <c r="B19" s="3" t="s">
        <v>13</v>
      </c>
      <c r="C19" s="3" t="s">
        <v>14</v>
      </c>
      <c r="D19" s="3" t="s">
        <v>48</v>
      </c>
      <c r="E19" s="3" t="s">
        <v>42</v>
      </c>
      <c r="F19" s="3">
        <v>35</v>
      </c>
      <c r="G19" s="3">
        <v>35</v>
      </c>
      <c r="H19" s="3" t="s">
        <v>49</v>
      </c>
      <c r="I19" s="3" t="s">
        <v>18</v>
      </c>
      <c r="J19" s="3"/>
    </row>
    <row r="20" spans="1:10">
      <c r="A20" s="2" t="s">
        <v>51</v>
      </c>
      <c r="B20" s="2" t="s">
        <v>13</v>
      </c>
      <c r="C20" s="2" t="s">
        <v>44</v>
      </c>
      <c r="D20" s="2" t="s">
        <v>52</v>
      </c>
      <c r="E20" s="2" t="s">
        <v>52</v>
      </c>
      <c r="F20" s="2">
        <v>52</v>
      </c>
      <c r="G20" s="2">
        <v>52</v>
      </c>
      <c r="H20" s="2" t="s">
        <v>29</v>
      </c>
      <c r="I20" s="2" t="s">
        <v>18</v>
      </c>
      <c r="J20" s="2"/>
    </row>
    <row r="21" spans="1:10">
      <c r="A21" s="3" t="s">
        <v>53</v>
      </c>
      <c r="B21" s="3" t="s">
        <v>13</v>
      </c>
      <c r="C21" s="3" t="s">
        <v>44</v>
      </c>
      <c r="D21" s="3" t="s">
        <v>52</v>
      </c>
      <c r="E21" s="3" t="s">
        <v>52</v>
      </c>
      <c r="F21" s="3">
        <v>105</v>
      </c>
      <c r="G21" s="3">
        <v>105</v>
      </c>
      <c r="H21" s="3" t="s">
        <v>29</v>
      </c>
      <c r="I21" s="3" t="s">
        <v>18</v>
      </c>
      <c r="J21" s="3"/>
    </row>
    <row r="22" spans="1:10">
      <c r="A22" s="2" t="s">
        <v>54</v>
      </c>
      <c r="B22" s="2" t="s">
        <v>13</v>
      </c>
      <c r="C22" s="2" t="s">
        <v>44</v>
      </c>
      <c r="D22" s="2" t="s">
        <v>27</v>
      </c>
      <c r="E22" s="2" t="s">
        <v>55</v>
      </c>
      <c r="F22" s="2">
        <v>149</v>
      </c>
      <c r="G22" s="2">
        <v>149</v>
      </c>
      <c r="H22" s="2" t="s">
        <v>29</v>
      </c>
      <c r="I22" s="2" t="s">
        <v>18</v>
      </c>
      <c r="J22" s="2"/>
    </row>
    <row r="23" spans="1:10">
      <c r="A23" s="3" t="s">
        <v>56</v>
      </c>
      <c r="B23" s="3" t="s">
        <v>13</v>
      </c>
      <c r="C23" s="3" t="s">
        <v>44</v>
      </c>
      <c r="D23" s="3" t="s">
        <v>27</v>
      </c>
      <c r="E23" s="3" t="s">
        <v>57</v>
      </c>
      <c r="F23" s="3">
        <v>54</v>
      </c>
      <c r="G23" s="3">
        <v>54</v>
      </c>
      <c r="H23" s="3" t="s">
        <v>29</v>
      </c>
      <c r="I23" s="3" t="s">
        <v>18</v>
      </c>
      <c r="J23" s="3"/>
    </row>
    <row r="24" spans="1:10">
      <c r="A24" s="2" t="s">
        <v>58</v>
      </c>
      <c r="B24" s="2" t="s">
        <v>13</v>
      </c>
      <c r="C24" s="2" t="s">
        <v>44</v>
      </c>
      <c r="D24" s="2" t="s">
        <v>27</v>
      </c>
      <c r="E24" s="2" t="s">
        <v>42</v>
      </c>
      <c r="F24" s="2">
        <v>300</v>
      </c>
      <c r="G24" s="2">
        <v>300</v>
      </c>
      <c r="H24" s="2" t="s">
        <v>29</v>
      </c>
      <c r="I24" s="2" t="s">
        <v>18</v>
      </c>
      <c r="J24" s="2"/>
    </row>
    <row r="25" spans="1:10">
      <c r="A25" s="3" t="s">
        <v>59</v>
      </c>
      <c r="B25" s="3" t="s">
        <v>13</v>
      </c>
      <c r="C25" s="3" t="s">
        <v>44</v>
      </c>
      <c r="D25" s="3" t="s">
        <v>27</v>
      </c>
      <c r="E25" s="3" t="s">
        <v>42</v>
      </c>
      <c r="F25" s="3">
        <v>149</v>
      </c>
      <c r="G25" s="3">
        <v>149</v>
      </c>
      <c r="H25" s="3" t="s">
        <v>29</v>
      </c>
      <c r="I25" s="3" t="s">
        <v>18</v>
      </c>
      <c r="J25" s="3"/>
    </row>
    <row r="26" spans="1:10">
      <c r="A26" s="2" t="s">
        <v>60</v>
      </c>
      <c r="B26" s="2" t="s">
        <v>13</v>
      </c>
      <c r="C26" s="2" t="s">
        <v>44</v>
      </c>
      <c r="D26" s="2" t="s">
        <v>27</v>
      </c>
      <c r="E26" s="2" t="s">
        <v>61</v>
      </c>
      <c r="F26" s="2">
        <v>55</v>
      </c>
      <c r="G26" s="2">
        <v>55</v>
      </c>
      <c r="H26" s="2" t="s">
        <v>29</v>
      </c>
      <c r="I26" s="2" t="s">
        <v>18</v>
      </c>
      <c r="J26" s="2"/>
    </row>
    <row r="27" spans="1:10">
      <c r="A27" s="3" t="s">
        <v>62</v>
      </c>
      <c r="B27" s="3" t="s">
        <v>13</v>
      </c>
      <c r="C27" s="3" t="s">
        <v>44</v>
      </c>
      <c r="D27" s="3" t="s">
        <v>27</v>
      </c>
      <c r="E27" s="3" t="s">
        <v>63</v>
      </c>
      <c r="F27" s="3">
        <v>55</v>
      </c>
      <c r="G27" s="3">
        <v>55</v>
      </c>
      <c r="H27" s="3" t="s">
        <v>29</v>
      </c>
      <c r="I27" s="3" t="s">
        <v>18</v>
      </c>
      <c r="J27" s="3"/>
    </row>
    <row r="28" spans="1:10">
      <c r="A28" s="2" t="s">
        <v>64</v>
      </c>
      <c r="B28" s="2" t="s">
        <v>13</v>
      </c>
      <c r="C28" s="2" t="s">
        <v>44</v>
      </c>
      <c r="D28" s="2" t="s">
        <v>27</v>
      </c>
      <c r="E28" s="2" t="s">
        <v>65</v>
      </c>
      <c r="F28" s="2">
        <v>104</v>
      </c>
      <c r="G28" s="2">
        <v>104</v>
      </c>
      <c r="H28" s="2" t="s">
        <v>29</v>
      </c>
      <c r="I28" s="2" t="s">
        <v>18</v>
      </c>
      <c r="J28" s="2"/>
    </row>
    <row r="29" spans="1:10">
      <c r="A29" s="3" t="s">
        <v>66</v>
      </c>
      <c r="B29" s="3" t="s">
        <v>13</v>
      </c>
      <c r="C29" s="3" t="s">
        <v>44</v>
      </c>
      <c r="D29" s="3" t="s">
        <v>27</v>
      </c>
      <c r="E29" s="3" t="s">
        <v>67</v>
      </c>
      <c r="F29" s="3">
        <v>162</v>
      </c>
      <c r="G29" s="3">
        <v>162</v>
      </c>
      <c r="H29" s="3" t="s">
        <v>29</v>
      </c>
      <c r="I29" s="3" t="s">
        <v>18</v>
      </c>
      <c r="J29" s="3"/>
    </row>
    <row r="30" spans="1:10">
      <c r="A30" s="2" t="s">
        <v>68</v>
      </c>
      <c r="B30" s="2" t="s">
        <v>13</v>
      </c>
      <c r="C30" s="2" t="s">
        <v>69</v>
      </c>
      <c r="D30" s="2" t="s">
        <v>27</v>
      </c>
      <c r="E30" s="2" t="s">
        <v>70</v>
      </c>
      <c r="F30" s="2">
        <v>35</v>
      </c>
      <c r="G30" s="2">
        <v>35</v>
      </c>
      <c r="H30" s="2" t="s">
        <v>71</v>
      </c>
      <c r="I30" s="2" t="s">
        <v>18</v>
      </c>
      <c r="J30" s="2"/>
    </row>
    <row r="31" spans="1:10">
      <c r="A31" s="3" t="s">
        <v>72</v>
      </c>
      <c r="B31" s="3" t="s">
        <v>13</v>
      </c>
      <c r="C31" s="3" t="s">
        <v>44</v>
      </c>
      <c r="D31" s="3" t="s">
        <v>27</v>
      </c>
      <c r="E31" s="3" t="s">
        <v>73</v>
      </c>
      <c r="F31" s="3">
        <v>55</v>
      </c>
      <c r="G31" s="3">
        <v>55</v>
      </c>
      <c r="H31" s="3" t="s">
        <v>29</v>
      </c>
      <c r="I31" s="3" t="s">
        <v>18</v>
      </c>
      <c r="J31" s="3"/>
    </row>
    <row r="32" spans="1:10">
      <c r="A32" s="2" t="s">
        <v>74</v>
      </c>
      <c r="B32" s="2" t="s">
        <v>13</v>
      </c>
      <c r="C32" s="2" t="s">
        <v>14</v>
      </c>
      <c r="D32" s="2" t="s">
        <v>27</v>
      </c>
      <c r="E32" s="2" t="s">
        <v>75</v>
      </c>
      <c r="F32" s="2">
        <v>584</v>
      </c>
      <c r="G32" s="2">
        <v>584</v>
      </c>
      <c r="H32" s="2" t="s">
        <v>21</v>
      </c>
      <c r="I32" s="2" t="s">
        <v>18</v>
      </c>
      <c r="J32" s="2" t="s">
        <v>76</v>
      </c>
    </row>
    <row r="33" spans="1:10">
      <c r="A33" s="3" t="s">
        <v>77</v>
      </c>
      <c r="B33" s="3" t="s">
        <v>13</v>
      </c>
      <c r="C33" s="3" t="s">
        <v>14</v>
      </c>
      <c r="D33" s="3" t="s">
        <v>27</v>
      </c>
      <c r="E33" s="3" t="s">
        <v>42</v>
      </c>
      <c r="F33" s="3">
        <v>583</v>
      </c>
      <c r="G33" s="3">
        <v>583</v>
      </c>
      <c r="H33" s="3" t="s">
        <v>21</v>
      </c>
      <c r="I33" s="3" t="s">
        <v>18</v>
      </c>
      <c r="J33" s="3"/>
    </row>
    <row r="34" spans="1:10">
      <c r="A34" s="2" t="s">
        <v>78</v>
      </c>
      <c r="B34" s="2" t="s">
        <v>13</v>
      </c>
      <c r="C34" s="2" t="s">
        <v>14</v>
      </c>
      <c r="D34" s="2" t="s">
        <v>27</v>
      </c>
      <c r="E34" s="2" t="s">
        <v>79</v>
      </c>
      <c r="F34" s="2">
        <v>718</v>
      </c>
      <c r="G34" s="2">
        <v>718</v>
      </c>
      <c r="H34" s="2" t="s">
        <v>21</v>
      </c>
      <c r="I34" s="2" t="s">
        <v>18</v>
      </c>
      <c r="J34" s="2" t="s">
        <v>22</v>
      </c>
    </row>
    <row r="35" spans="1:10">
      <c r="A35" s="3" t="s">
        <v>80</v>
      </c>
      <c r="B35" s="3" t="s">
        <v>13</v>
      </c>
      <c r="C35" s="3" t="s">
        <v>44</v>
      </c>
      <c r="D35" s="3" t="s">
        <v>27</v>
      </c>
      <c r="E35" s="3" t="s">
        <v>55</v>
      </c>
      <c r="F35" s="3">
        <v>150</v>
      </c>
      <c r="G35" s="3">
        <v>160</v>
      </c>
      <c r="H35" s="3" t="s">
        <v>29</v>
      </c>
      <c r="I35" s="3" t="s">
        <v>18</v>
      </c>
      <c r="J35" s="3"/>
    </row>
    <row r="36" spans="1:10">
      <c r="A36" s="2" t="s">
        <v>81</v>
      </c>
      <c r="B36" s="2" t="s">
        <v>82</v>
      </c>
      <c r="C36" s="2" t="s">
        <v>83</v>
      </c>
      <c r="D36" s="2" t="s">
        <v>15</v>
      </c>
      <c r="E36" s="2" t="s">
        <v>16</v>
      </c>
      <c r="F36" s="2">
        <v>230</v>
      </c>
      <c r="G36" s="2">
        <v>230</v>
      </c>
      <c r="H36" s="2" t="s">
        <v>83</v>
      </c>
      <c r="I36" s="2" t="s">
        <v>18</v>
      </c>
      <c r="J36" s="2" t="s">
        <v>84</v>
      </c>
    </row>
    <row r="37" spans="1:10">
      <c r="A37" s="3" t="s">
        <v>85</v>
      </c>
      <c r="B37" s="3" t="s">
        <v>82</v>
      </c>
      <c r="C37" s="3" t="s">
        <v>14</v>
      </c>
      <c r="D37" s="3" t="s">
        <v>15</v>
      </c>
      <c r="E37" s="3" t="s">
        <v>16</v>
      </c>
      <c r="F37" s="3">
        <v>420</v>
      </c>
      <c r="G37" s="3">
        <v>360</v>
      </c>
      <c r="H37" s="3" t="s">
        <v>24</v>
      </c>
      <c r="I37" s="3" t="s">
        <v>35</v>
      </c>
      <c r="J37" s="3" t="s">
        <v>22</v>
      </c>
    </row>
    <row r="38" spans="1:10">
      <c r="A38" s="2" t="s">
        <v>86</v>
      </c>
      <c r="B38" s="2" t="s">
        <v>82</v>
      </c>
      <c r="C38" s="2" t="s">
        <v>69</v>
      </c>
      <c r="D38" s="2" t="s">
        <v>15</v>
      </c>
      <c r="E38" s="2" t="s">
        <v>16</v>
      </c>
      <c r="F38" s="2">
        <v>6</v>
      </c>
      <c r="G38" s="2">
        <v>6</v>
      </c>
      <c r="H38" s="2" t="s">
        <v>71</v>
      </c>
      <c r="I38" s="2" t="s">
        <v>18</v>
      </c>
      <c r="J38" s="2"/>
    </row>
    <row r="39" spans="1:10">
      <c r="A39" s="3" t="s">
        <v>87</v>
      </c>
      <c r="B39" s="3" t="s">
        <v>82</v>
      </c>
      <c r="C39" s="3" t="s">
        <v>44</v>
      </c>
      <c r="D39" s="3" t="s">
        <v>52</v>
      </c>
      <c r="E39" s="3" t="s">
        <v>52</v>
      </c>
      <c r="F39" s="3">
        <v>25</v>
      </c>
      <c r="G39" s="3">
        <v>25</v>
      </c>
      <c r="H39" s="3" t="s">
        <v>29</v>
      </c>
      <c r="I39" s="3" t="s">
        <v>18</v>
      </c>
      <c r="J39" s="3"/>
    </row>
    <row r="40" spans="1:10">
      <c r="A40" s="2" t="s">
        <v>88</v>
      </c>
      <c r="B40" s="2" t="s">
        <v>82</v>
      </c>
      <c r="C40" s="2" t="s">
        <v>69</v>
      </c>
      <c r="D40" s="2" t="s">
        <v>27</v>
      </c>
      <c r="E40" s="2" t="s">
        <v>89</v>
      </c>
      <c r="F40" s="2">
        <v>20</v>
      </c>
      <c r="G40" s="2">
        <v>20</v>
      </c>
      <c r="H40" s="2" t="s">
        <v>71</v>
      </c>
      <c r="I40" s="2" t="s">
        <v>18</v>
      </c>
      <c r="J40" s="2"/>
    </row>
    <row r="41" spans="1:10">
      <c r="A41" s="3" t="s">
        <v>90</v>
      </c>
      <c r="B41" s="3" t="s">
        <v>82</v>
      </c>
      <c r="C41" s="3" t="s">
        <v>44</v>
      </c>
      <c r="D41" s="3" t="s">
        <v>27</v>
      </c>
      <c r="E41" s="3" t="s">
        <v>91</v>
      </c>
      <c r="F41" s="3">
        <v>50</v>
      </c>
      <c r="G41" s="3">
        <v>50</v>
      </c>
      <c r="H41" s="3" t="s">
        <v>29</v>
      </c>
      <c r="I41" s="3" t="s">
        <v>18</v>
      </c>
      <c r="J41" s="3"/>
    </row>
    <row r="42" spans="1:10">
      <c r="A42" s="2" t="s">
        <v>92</v>
      </c>
      <c r="B42" s="2" t="s">
        <v>82</v>
      </c>
      <c r="C42" s="2" t="s">
        <v>44</v>
      </c>
      <c r="D42" s="2" t="s">
        <v>27</v>
      </c>
      <c r="E42" s="2" t="s">
        <v>93</v>
      </c>
      <c r="F42" s="2">
        <v>105</v>
      </c>
      <c r="G42" s="2">
        <v>105</v>
      </c>
      <c r="H42" s="2" t="s">
        <v>29</v>
      </c>
      <c r="I42" s="2" t="s">
        <v>18</v>
      </c>
      <c r="J42" s="2"/>
    </row>
    <row r="43" spans="1:10" ht="26.45">
      <c r="A43" s="3" t="s">
        <v>94</v>
      </c>
      <c r="B43" s="3" t="s">
        <v>82</v>
      </c>
      <c r="C43" s="3" t="s">
        <v>14</v>
      </c>
      <c r="D43" s="3" t="s">
        <v>15</v>
      </c>
      <c r="E43" s="3" t="s">
        <v>16</v>
      </c>
      <c r="F43" s="3">
        <v>150</v>
      </c>
      <c r="G43" s="3">
        <v>150</v>
      </c>
      <c r="H43" s="3" t="s">
        <v>31</v>
      </c>
      <c r="I43" s="3" t="s">
        <v>95</v>
      </c>
      <c r="J43" s="3"/>
    </row>
    <row r="44" spans="1:10">
      <c r="A44" s="2" t="s">
        <v>96</v>
      </c>
      <c r="B44" s="2" t="s">
        <v>82</v>
      </c>
      <c r="C44" s="2" t="s">
        <v>14</v>
      </c>
      <c r="D44" s="2" t="s">
        <v>15</v>
      </c>
      <c r="E44" s="2" t="s">
        <v>16</v>
      </c>
      <c r="F44" s="2">
        <v>225</v>
      </c>
      <c r="G44" s="2">
        <v>225</v>
      </c>
      <c r="H44" s="2" t="s">
        <v>21</v>
      </c>
      <c r="I44" s="2" t="s">
        <v>18</v>
      </c>
      <c r="J44" s="2"/>
    </row>
    <row r="45" spans="1:10">
      <c r="A45" s="3" t="s">
        <v>97</v>
      </c>
      <c r="B45" s="3" t="s">
        <v>82</v>
      </c>
      <c r="C45" s="3" t="s">
        <v>44</v>
      </c>
      <c r="D45" s="3" t="s">
        <v>27</v>
      </c>
      <c r="E45" s="3" t="s">
        <v>98</v>
      </c>
      <c r="F45" s="3">
        <v>300</v>
      </c>
      <c r="G45" s="3">
        <v>300</v>
      </c>
      <c r="H45" s="3" t="s">
        <v>29</v>
      </c>
      <c r="I45" s="3" t="s">
        <v>18</v>
      </c>
      <c r="J45" s="3"/>
    </row>
    <row r="46" spans="1:10">
      <c r="A46" s="2" t="s">
        <v>99</v>
      </c>
      <c r="B46" s="2" t="s">
        <v>82</v>
      </c>
      <c r="C46" s="2" t="s">
        <v>44</v>
      </c>
      <c r="D46" s="2" t="s">
        <v>27</v>
      </c>
      <c r="E46" s="2" t="s">
        <v>100</v>
      </c>
      <c r="F46" s="2">
        <v>100</v>
      </c>
      <c r="G46" s="2">
        <v>100</v>
      </c>
      <c r="H46" s="2" t="s">
        <v>29</v>
      </c>
      <c r="I46" s="2" t="s">
        <v>18</v>
      </c>
      <c r="J46" s="2"/>
    </row>
    <row r="47" spans="1:10">
      <c r="A47" s="3" t="s">
        <v>101</v>
      </c>
      <c r="B47" s="3" t="s">
        <v>82</v>
      </c>
      <c r="C47" s="3" t="s">
        <v>44</v>
      </c>
      <c r="D47" s="3" t="s">
        <v>15</v>
      </c>
      <c r="E47" s="3" t="s">
        <v>16</v>
      </c>
      <c r="F47" s="3">
        <v>102</v>
      </c>
      <c r="G47" s="3">
        <v>98</v>
      </c>
      <c r="H47" s="3" t="s">
        <v>29</v>
      </c>
      <c r="I47" s="3" t="s">
        <v>18</v>
      </c>
      <c r="J47" s="3"/>
    </row>
    <row r="48" spans="1:10">
      <c r="A48" s="2" t="s">
        <v>102</v>
      </c>
      <c r="B48" s="2" t="s">
        <v>82</v>
      </c>
      <c r="C48" s="2" t="s">
        <v>44</v>
      </c>
      <c r="D48" s="2" t="s">
        <v>15</v>
      </c>
      <c r="E48" s="2" t="s">
        <v>16</v>
      </c>
      <c r="F48" s="2">
        <v>98</v>
      </c>
      <c r="G48" s="2">
        <v>98</v>
      </c>
      <c r="H48" s="2" t="s">
        <v>29</v>
      </c>
      <c r="I48" s="2" t="s">
        <v>35</v>
      </c>
      <c r="J48" s="2"/>
    </row>
    <row r="49" spans="1:10">
      <c r="A49" s="3" t="s">
        <v>103</v>
      </c>
      <c r="B49" s="3" t="s">
        <v>82</v>
      </c>
      <c r="C49" s="3" t="s">
        <v>44</v>
      </c>
      <c r="D49" s="3" t="s">
        <v>27</v>
      </c>
      <c r="E49" s="3" t="s">
        <v>104</v>
      </c>
      <c r="F49" s="3">
        <v>108</v>
      </c>
      <c r="G49" s="3">
        <v>108</v>
      </c>
      <c r="H49" s="3" t="s">
        <v>29</v>
      </c>
      <c r="I49" s="3" t="s">
        <v>18</v>
      </c>
      <c r="J49" s="3"/>
    </row>
    <row r="50" spans="1:10">
      <c r="A50" s="2" t="s">
        <v>105</v>
      </c>
      <c r="B50" s="2" t="s">
        <v>82</v>
      </c>
      <c r="C50" s="2" t="s">
        <v>44</v>
      </c>
      <c r="D50" s="2" t="s">
        <v>27</v>
      </c>
      <c r="E50" s="2" t="s">
        <v>106</v>
      </c>
      <c r="F50" s="2">
        <v>54</v>
      </c>
      <c r="G50" s="2">
        <v>54</v>
      </c>
      <c r="H50" s="2" t="s">
        <v>29</v>
      </c>
      <c r="I50" s="2" t="s">
        <v>18</v>
      </c>
      <c r="J50" s="2"/>
    </row>
    <row r="51" spans="1:10">
      <c r="A51" s="3" t="s">
        <v>107</v>
      </c>
      <c r="B51" s="3" t="s">
        <v>82</v>
      </c>
      <c r="C51" s="3" t="s">
        <v>44</v>
      </c>
      <c r="D51" s="3" t="s">
        <v>27</v>
      </c>
      <c r="E51" s="3" t="s">
        <v>108</v>
      </c>
      <c r="F51" s="3">
        <v>110</v>
      </c>
      <c r="G51" s="3">
        <v>110</v>
      </c>
      <c r="H51" s="3" t="s">
        <v>29</v>
      </c>
      <c r="I51" s="3" t="s">
        <v>18</v>
      </c>
      <c r="J51" s="3"/>
    </row>
    <row r="52" spans="1:10">
      <c r="A52" s="2" t="s">
        <v>109</v>
      </c>
      <c r="B52" s="2" t="s">
        <v>82</v>
      </c>
      <c r="C52" s="2" t="s">
        <v>44</v>
      </c>
      <c r="D52" s="2" t="s">
        <v>27</v>
      </c>
      <c r="E52" s="2" t="s">
        <v>100</v>
      </c>
      <c r="F52" s="2">
        <v>100</v>
      </c>
      <c r="G52" s="2">
        <v>100</v>
      </c>
      <c r="H52" s="2" t="s">
        <v>29</v>
      </c>
      <c r="I52" s="2" t="s">
        <v>18</v>
      </c>
      <c r="J52" s="2"/>
    </row>
    <row r="53" spans="1:10">
      <c r="A53" s="3" t="s">
        <v>110</v>
      </c>
      <c r="B53" s="3" t="s">
        <v>82</v>
      </c>
      <c r="C53" s="3" t="s">
        <v>44</v>
      </c>
      <c r="D53" s="3" t="s">
        <v>27</v>
      </c>
      <c r="E53" s="3" t="s">
        <v>111</v>
      </c>
      <c r="F53" s="3">
        <v>116</v>
      </c>
      <c r="G53" s="3">
        <v>116</v>
      </c>
      <c r="H53" s="3" t="s">
        <v>29</v>
      </c>
      <c r="I53" s="3" t="s">
        <v>18</v>
      </c>
      <c r="J53" s="3"/>
    </row>
    <row r="54" spans="1:10">
      <c r="A54" s="2" t="s">
        <v>112</v>
      </c>
      <c r="B54" s="2" t="s">
        <v>82</v>
      </c>
      <c r="C54" s="2" t="s">
        <v>44</v>
      </c>
      <c r="D54" s="2" t="s">
        <v>27</v>
      </c>
      <c r="E54" s="2" t="s">
        <v>55</v>
      </c>
      <c r="F54" s="2">
        <v>163</v>
      </c>
      <c r="G54" s="2">
        <v>160</v>
      </c>
      <c r="H54" s="2" t="s">
        <v>29</v>
      </c>
      <c r="I54" s="2" t="s">
        <v>18</v>
      </c>
      <c r="J54" s="2"/>
    </row>
    <row r="55" spans="1:10">
      <c r="A55" s="3" t="s">
        <v>113</v>
      </c>
      <c r="B55" s="3" t="s">
        <v>82</v>
      </c>
      <c r="C55" s="3" t="s">
        <v>114</v>
      </c>
      <c r="D55" s="3" t="s">
        <v>27</v>
      </c>
      <c r="E55" s="3" t="s">
        <v>115</v>
      </c>
      <c r="F55" s="3">
        <v>1224</v>
      </c>
      <c r="G55" s="3">
        <v>1224</v>
      </c>
      <c r="H55" s="3" t="s">
        <v>24</v>
      </c>
      <c r="I55" s="3" t="s">
        <v>18</v>
      </c>
      <c r="J55" s="3" t="s">
        <v>116</v>
      </c>
    </row>
    <row r="56" spans="1:10">
      <c r="A56" s="2" t="s">
        <v>117</v>
      </c>
      <c r="B56" s="2" t="s">
        <v>82</v>
      </c>
      <c r="C56" s="2" t="s">
        <v>114</v>
      </c>
      <c r="D56" s="2" t="s">
        <v>118</v>
      </c>
      <c r="E56" s="2" t="s">
        <v>118</v>
      </c>
      <c r="F56" s="2">
        <v>1150</v>
      </c>
      <c r="G56" s="2">
        <v>1150</v>
      </c>
      <c r="H56" s="2" t="s">
        <v>119</v>
      </c>
      <c r="I56" s="2" t="s">
        <v>18</v>
      </c>
      <c r="J56" s="2"/>
    </row>
    <row r="57" spans="1:10">
      <c r="A57" s="3" t="s">
        <v>120</v>
      </c>
      <c r="B57" s="3" t="s">
        <v>82</v>
      </c>
      <c r="C57" s="3" t="s">
        <v>121</v>
      </c>
      <c r="D57" s="3" t="s">
        <v>27</v>
      </c>
      <c r="E57" s="3" t="s">
        <v>27</v>
      </c>
      <c r="F57" s="3">
        <v>60</v>
      </c>
      <c r="G57" s="3">
        <v>60</v>
      </c>
      <c r="H57" s="3" t="s">
        <v>121</v>
      </c>
      <c r="I57" s="3" t="s">
        <v>18</v>
      </c>
      <c r="J57" s="3"/>
    </row>
    <row r="58" spans="1:10">
      <c r="A58" s="2" t="s">
        <v>122</v>
      </c>
      <c r="B58" s="2" t="s">
        <v>123</v>
      </c>
      <c r="C58" s="2" t="s">
        <v>14</v>
      </c>
      <c r="D58" s="2" t="s">
        <v>124</v>
      </c>
      <c r="E58" s="2" t="s">
        <v>124</v>
      </c>
      <c r="F58" s="2">
        <v>53</v>
      </c>
      <c r="G58" s="2">
        <v>47</v>
      </c>
      <c r="H58" s="2" t="s">
        <v>24</v>
      </c>
      <c r="I58" s="2" t="s">
        <v>18</v>
      </c>
      <c r="J58" s="2"/>
    </row>
    <row r="59" spans="1:10">
      <c r="A59" s="3" t="s">
        <v>125</v>
      </c>
      <c r="B59" s="3" t="s">
        <v>123</v>
      </c>
      <c r="C59" s="3" t="s">
        <v>14</v>
      </c>
      <c r="D59" s="3" t="s">
        <v>124</v>
      </c>
      <c r="E59" s="3" t="s">
        <v>124</v>
      </c>
      <c r="F59" s="3">
        <v>221</v>
      </c>
      <c r="G59" s="3">
        <v>221</v>
      </c>
      <c r="H59" s="3" t="s">
        <v>21</v>
      </c>
      <c r="I59" s="3" t="s">
        <v>18</v>
      </c>
      <c r="J59" s="3"/>
    </row>
    <row r="60" spans="1:10">
      <c r="A60" s="2" t="s">
        <v>126</v>
      </c>
      <c r="B60" s="2" t="s">
        <v>123</v>
      </c>
      <c r="C60" s="2" t="s">
        <v>14</v>
      </c>
      <c r="D60" s="2" t="s">
        <v>124</v>
      </c>
      <c r="E60" s="2" t="s">
        <v>124</v>
      </c>
      <c r="F60" s="2">
        <v>360</v>
      </c>
      <c r="G60" s="2">
        <v>360</v>
      </c>
      <c r="H60" s="2" t="s">
        <v>21</v>
      </c>
      <c r="I60" s="2" t="s">
        <v>18</v>
      </c>
      <c r="J60" s="2"/>
    </row>
    <row r="61" spans="1:10">
      <c r="A61" s="3" t="s">
        <v>127</v>
      </c>
      <c r="B61" s="3" t="s">
        <v>123</v>
      </c>
      <c r="C61" s="3" t="s">
        <v>14</v>
      </c>
      <c r="D61" s="3" t="s">
        <v>124</v>
      </c>
      <c r="E61" s="3" t="s">
        <v>124</v>
      </c>
      <c r="F61" s="3">
        <v>360</v>
      </c>
      <c r="G61" s="3">
        <v>360</v>
      </c>
      <c r="H61" s="3" t="s">
        <v>21</v>
      </c>
      <c r="I61" s="3" t="s">
        <v>18</v>
      </c>
      <c r="J61" s="3"/>
    </row>
    <row r="62" spans="1:10">
      <c r="A62" s="2" t="s">
        <v>128</v>
      </c>
      <c r="B62" s="2" t="s">
        <v>123</v>
      </c>
      <c r="C62" s="2" t="s">
        <v>14</v>
      </c>
      <c r="D62" s="2" t="s">
        <v>124</v>
      </c>
      <c r="E62" s="2" t="s">
        <v>124</v>
      </c>
      <c r="F62" s="2">
        <v>400</v>
      </c>
      <c r="G62" s="2">
        <v>400</v>
      </c>
      <c r="H62" s="2" t="s">
        <v>21</v>
      </c>
      <c r="I62" s="2" t="s">
        <v>18</v>
      </c>
      <c r="J62" s="2" t="s">
        <v>22</v>
      </c>
    </row>
    <row r="63" spans="1:10">
      <c r="A63" s="3" t="s">
        <v>129</v>
      </c>
      <c r="B63" s="3" t="s">
        <v>123</v>
      </c>
      <c r="C63" s="3" t="s">
        <v>14</v>
      </c>
      <c r="D63" s="3" t="s">
        <v>27</v>
      </c>
      <c r="E63" s="3" t="s">
        <v>130</v>
      </c>
      <c r="F63" s="3">
        <v>195</v>
      </c>
      <c r="G63" s="3">
        <v>195</v>
      </c>
      <c r="H63" s="3" t="s">
        <v>29</v>
      </c>
      <c r="I63" s="3" t="s">
        <v>18</v>
      </c>
      <c r="J63" s="3" t="s">
        <v>22</v>
      </c>
    </row>
    <row r="64" spans="1:10">
      <c r="A64" s="2" t="s">
        <v>131</v>
      </c>
      <c r="B64" s="2" t="s">
        <v>123</v>
      </c>
      <c r="C64" s="2" t="s">
        <v>14</v>
      </c>
      <c r="D64" s="2" t="s">
        <v>27</v>
      </c>
      <c r="E64" s="2" t="s">
        <v>132</v>
      </c>
      <c r="F64" s="2">
        <v>51</v>
      </c>
      <c r="G64" s="2">
        <v>51</v>
      </c>
      <c r="H64" s="2" t="s">
        <v>29</v>
      </c>
      <c r="I64" s="2" t="s">
        <v>18</v>
      </c>
      <c r="J64" s="2"/>
    </row>
    <row r="65" spans="1:10">
      <c r="A65" s="3" t="s">
        <v>133</v>
      </c>
      <c r="B65" s="3" t="s">
        <v>123</v>
      </c>
      <c r="C65" s="3" t="s">
        <v>44</v>
      </c>
      <c r="D65" s="3" t="s">
        <v>27</v>
      </c>
      <c r="E65" s="3" t="s">
        <v>132</v>
      </c>
      <c r="F65" s="3">
        <v>150</v>
      </c>
      <c r="G65" s="3">
        <v>150</v>
      </c>
      <c r="H65" s="3" t="s">
        <v>29</v>
      </c>
      <c r="I65" s="3" t="s">
        <v>18</v>
      </c>
      <c r="J65" s="3"/>
    </row>
    <row r="66" spans="1:10">
      <c r="A66" s="2" t="s">
        <v>134</v>
      </c>
      <c r="B66" s="2" t="s">
        <v>123</v>
      </c>
      <c r="C66" s="2" t="s">
        <v>44</v>
      </c>
      <c r="D66" s="2" t="s">
        <v>15</v>
      </c>
      <c r="E66" s="2" t="s">
        <v>16</v>
      </c>
      <c r="F66" s="2">
        <v>52</v>
      </c>
      <c r="G66" s="2">
        <v>52</v>
      </c>
      <c r="H66" s="2" t="s">
        <v>29</v>
      </c>
      <c r="I66" s="2" t="s">
        <v>18</v>
      </c>
      <c r="J66" s="2"/>
    </row>
    <row r="67" spans="1:10">
      <c r="A67" s="3" t="s">
        <v>135</v>
      </c>
      <c r="B67" s="3" t="s">
        <v>123</v>
      </c>
      <c r="C67" s="3" t="s">
        <v>14</v>
      </c>
      <c r="D67" s="3" t="s">
        <v>15</v>
      </c>
      <c r="E67" s="3" t="s">
        <v>16</v>
      </c>
      <c r="F67" s="3">
        <v>163</v>
      </c>
      <c r="G67" s="3">
        <v>163</v>
      </c>
      <c r="H67" s="3" t="s">
        <v>21</v>
      </c>
      <c r="I67" s="3" t="s">
        <v>18</v>
      </c>
      <c r="J67" s="3"/>
    </row>
    <row r="68" spans="1:10">
      <c r="A68" s="2" t="s">
        <v>136</v>
      </c>
      <c r="B68" s="2" t="s">
        <v>123</v>
      </c>
      <c r="C68" s="2" t="s">
        <v>44</v>
      </c>
      <c r="D68" s="2" t="s">
        <v>27</v>
      </c>
      <c r="E68" s="2" t="s">
        <v>137</v>
      </c>
      <c r="F68" s="2">
        <v>200</v>
      </c>
      <c r="G68" s="2">
        <v>200</v>
      </c>
      <c r="H68" s="2" t="s">
        <v>29</v>
      </c>
      <c r="I68" s="2" t="s">
        <v>18</v>
      </c>
      <c r="J68" s="2"/>
    </row>
    <row r="69" spans="1:10">
      <c r="A69" s="3" t="s">
        <v>138</v>
      </c>
      <c r="B69" s="3" t="s">
        <v>123</v>
      </c>
      <c r="C69" s="3" t="s">
        <v>44</v>
      </c>
      <c r="D69" s="3" t="s">
        <v>27</v>
      </c>
      <c r="E69" s="3" t="s">
        <v>139</v>
      </c>
      <c r="F69" s="3">
        <v>52</v>
      </c>
      <c r="G69" s="3">
        <v>52</v>
      </c>
      <c r="H69" s="3" t="s">
        <v>29</v>
      </c>
      <c r="I69" s="3" t="s">
        <v>18</v>
      </c>
      <c r="J69" s="3"/>
    </row>
    <row r="70" spans="1:10">
      <c r="A70" s="2" t="s">
        <v>140</v>
      </c>
      <c r="B70" s="2" t="s">
        <v>123</v>
      </c>
      <c r="C70" s="2" t="s">
        <v>14</v>
      </c>
      <c r="D70" s="2" t="s">
        <v>48</v>
      </c>
      <c r="E70" s="2" t="s">
        <v>42</v>
      </c>
      <c r="F70" s="2">
        <v>25</v>
      </c>
      <c r="G70" s="2">
        <v>25</v>
      </c>
      <c r="H70" s="2" t="s">
        <v>49</v>
      </c>
      <c r="I70" s="2" t="s">
        <v>18</v>
      </c>
      <c r="J70" s="2"/>
    </row>
    <row r="71" spans="1:10">
      <c r="A71" s="3" t="s">
        <v>141</v>
      </c>
      <c r="B71" s="3" t="s">
        <v>123</v>
      </c>
      <c r="C71" s="3" t="s">
        <v>44</v>
      </c>
      <c r="D71" s="3" t="s">
        <v>27</v>
      </c>
      <c r="E71" s="3" t="s">
        <v>139</v>
      </c>
      <c r="F71" s="3">
        <v>114</v>
      </c>
      <c r="G71" s="3">
        <v>114</v>
      </c>
      <c r="H71" s="3" t="s">
        <v>29</v>
      </c>
      <c r="I71" s="3" t="s">
        <v>18</v>
      </c>
      <c r="J71" s="3"/>
    </row>
    <row r="72" spans="1:10">
      <c r="A72" s="2" t="s">
        <v>142</v>
      </c>
      <c r="B72" s="2" t="s">
        <v>123</v>
      </c>
      <c r="C72" s="2" t="s">
        <v>44</v>
      </c>
      <c r="D72" s="2" t="s">
        <v>27</v>
      </c>
      <c r="E72" s="2" t="s">
        <v>27</v>
      </c>
      <c r="F72" s="2">
        <v>113</v>
      </c>
      <c r="G72" s="2">
        <v>113</v>
      </c>
      <c r="H72" s="2" t="s">
        <v>29</v>
      </c>
      <c r="I72" s="2" t="s">
        <v>18</v>
      </c>
      <c r="J72" s="2"/>
    </row>
    <row r="73" spans="1:10">
      <c r="A73" s="3" t="s">
        <v>143</v>
      </c>
      <c r="B73" s="3" t="s">
        <v>123</v>
      </c>
      <c r="C73" s="3" t="s">
        <v>44</v>
      </c>
      <c r="D73" s="3" t="s">
        <v>27</v>
      </c>
      <c r="E73" s="3" t="s">
        <v>144</v>
      </c>
      <c r="F73" s="3">
        <v>115</v>
      </c>
      <c r="G73" s="3">
        <v>115</v>
      </c>
      <c r="H73" s="3" t="s">
        <v>29</v>
      </c>
      <c r="I73" s="3" t="s">
        <v>18</v>
      </c>
      <c r="J73" s="3"/>
    </row>
    <row r="74" spans="1:10">
      <c r="A74" s="2" t="s">
        <v>145</v>
      </c>
      <c r="B74" s="2" t="s">
        <v>123</v>
      </c>
      <c r="C74" s="2" t="s">
        <v>14</v>
      </c>
      <c r="D74" s="2" t="s">
        <v>146</v>
      </c>
      <c r="E74" s="2" t="s">
        <v>147</v>
      </c>
      <c r="F74" s="2">
        <v>55</v>
      </c>
      <c r="G74" s="2">
        <v>55</v>
      </c>
      <c r="H74" s="2" t="s">
        <v>29</v>
      </c>
      <c r="I74" s="2" t="s">
        <v>18</v>
      </c>
      <c r="J74" s="2"/>
    </row>
    <row r="75" spans="1:10">
      <c r="A75" s="3" t="s">
        <v>148</v>
      </c>
      <c r="B75" s="3" t="s">
        <v>123</v>
      </c>
      <c r="C75" s="3" t="s">
        <v>69</v>
      </c>
      <c r="D75" s="3" t="s">
        <v>38</v>
      </c>
      <c r="E75" s="3" t="s">
        <v>38</v>
      </c>
      <c r="F75" s="3">
        <v>75</v>
      </c>
      <c r="G75" s="3">
        <v>75</v>
      </c>
      <c r="H75" s="3" t="s">
        <v>71</v>
      </c>
      <c r="I75" s="3" t="s">
        <v>18</v>
      </c>
      <c r="J75" s="3" t="s">
        <v>149</v>
      </c>
    </row>
    <row r="76" spans="1:10">
      <c r="A76" s="2" t="s">
        <v>150</v>
      </c>
      <c r="B76" s="2" t="s">
        <v>151</v>
      </c>
      <c r="C76" s="2" t="s">
        <v>14</v>
      </c>
      <c r="D76" s="2" t="s">
        <v>27</v>
      </c>
      <c r="E76" s="2" t="s">
        <v>52</v>
      </c>
      <c r="F76" s="2">
        <v>210</v>
      </c>
      <c r="G76" s="2">
        <v>202</v>
      </c>
      <c r="H76" s="2" t="s">
        <v>21</v>
      </c>
      <c r="I76" s="2" t="s">
        <v>18</v>
      </c>
      <c r="J76" s="2" t="s">
        <v>152</v>
      </c>
    </row>
    <row r="77" spans="1:10">
      <c r="A77" s="3" t="s">
        <v>153</v>
      </c>
      <c r="B77" s="3" t="s">
        <v>151</v>
      </c>
      <c r="C77" s="3" t="s">
        <v>44</v>
      </c>
      <c r="D77" s="3" t="s">
        <v>27</v>
      </c>
      <c r="E77" s="3" t="s">
        <v>98</v>
      </c>
      <c r="F77" s="3">
        <v>115</v>
      </c>
      <c r="G77" s="3">
        <v>115</v>
      </c>
      <c r="H77" s="3" t="s">
        <v>29</v>
      </c>
      <c r="I77" s="3" t="s">
        <v>18</v>
      </c>
      <c r="J77" s="3"/>
    </row>
    <row r="78" spans="1:10">
      <c r="A78" s="2" t="s">
        <v>154</v>
      </c>
      <c r="B78" s="2" t="s">
        <v>151</v>
      </c>
      <c r="C78" s="2" t="s">
        <v>44</v>
      </c>
      <c r="D78" s="2" t="s">
        <v>27</v>
      </c>
      <c r="E78" s="2" t="s">
        <v>98</v>
      </c>
      <c r="F78" s="2">
        <v>200</v>
      </c>
      <c r="G78" s="2">
        <v>200</v>
      </c>
      <c r="H78" s="2" t="s">
        <v>29</v>
      </c>
      <c r="I78" s="2" t="s">
        <v>18</v>
      </c>
      <c r="J78" s="2"/>
    </row>
    <row r="79" spans="1:10">
      <c r="A79" s="3" t="s">
        <v>155</v>
      </c>
      <c r="B79" s="3" t="s">
        <v>151</v>
      </c>
      <c r="C79" s="3" t="s">
        <v>69</v>
      </c>
      <c r="D79" s="3" t="s">
        <v>27</v>
      </c>
      <c r="E79" s="3" t="s">
        <v>27</v>
      </c>
      <c r="F79" s="3">
        <v>3</v>
      </c>
      <c r="G79" s="3">
        <v>3</v>
      </c>
      <c r="H79" s="3" t="s">
        <v>71</v>
      </c>
      <c r="I79" s="3" t="s">
        <v>18</v>
      </c>
      <c r="J79" s="3"/>
    </row>
    <row r="80" spans="1:10">
      <c r="A80" s="2" t="s">
        <v>156</v>
      </c>
      <c r="B80" s="2" t="s">
        <v>151</v>
      </c>
      <c r="C80" s="2" t="s">
        <v>69</v>
      </c>
      <c r="D80" s="2" t="s">
        <v>27</v>
      </c>
      <c r="E80" s="2" t="s">
        <v>27</v>
      </c>
      <c r="F80" s="2">
        <v>50</v>
      </c>
      <c r="G80" s="2">
        <v>50</v>
      </c>
      <c r="H80" s="2" t="s">
        <v>71</v>
      </c>
      <c r="I80" s="2" t="s">
        <v>18</v>
      </c>
      <c r="J80" s="2"/>
    </row>
    <row r="81" spans="1:10">
      <c r="A81" s="3" t="s">
        <v>157</v>
      </c>
      <c r="B81" s="3" t="s">
        <v>151</v>
      </c>
      <c r="C81" s="3" t="s">
        <v>44</v>
      </c>
      <c r="D81" s="3" t="s">
        <v>27</v>
      </c>
      <c r="E81" s="3" t="s">
        <v>27</v>
      </c>
      <c r="F81" s="3">
        <v>54</v>
      </c>
      <c r="G81" s="3">
        <v>54</v>
      </c>
      <c r="H81" s="3" t="s">
        <v>29</v>
      </c>
      <c r="I81" s="3" t="s">
        <v>18</v>
      </c>
      <c r="J81" s="3"/>
    </row>
    <row r="82" spans="1:10">
      <c r="A82" s="2" t="s">
        <v>158</v>
      </c>
      <c r="B82" s="2" t="s">
        <v>151</v>
      </c>
      <c r="C82" s="2" t="s">
        <v>44</v>
      </c>
      <c r="D82" s="2" t="s">
        <v>27</v>
      </c>
      <c r="E82" s="2" t="s">
        <v>159</v>
      </c>
      <c r="F82" s="2">
        <v>22</v>
      </c>
      <c r="G82" s="2">
        <v>22</v>
      </c>
      <c r="H82" s="2" t="s">
        <v>29</v>
      </c>
      <c r="I82" s="2" t="s">
        <v>18</v>
      </c>
      <c r="J82" s="2"/>
    </row>
    <row r="83" spans="1:10">
      <c r="A83" s="3" t="s">
        <v>160</v>
      </c>
      <c r="B83" s="3" t="s">
        <v>161</v>
      </c>
      <c r="C83" s="3" t="s">
        <v>14</v>
      </c>
      <c r="D83" s="3" t="s">
        <v>15</v>
      </c>
      <c r="E83" s="3" t="s">
        <v>16</v>
      </c>
      <c r="F83" s="3">
        <v>97</v>
      </c>
      <c r="G83" s="3">
        <v>70</v>
      </c>
      <c r="H83" s="3" t="s">
        <v>21</v>
      </c>
      <c r="I83" s="3" t="s">
        <v>18</v>
      </c>
      <c r="J83" s="3"/>
    </row>
    <row r="84" spans="1:10">
      <c r="A84" s="2" t="s">
        <v>162</v>
      </c>
      <c r="B84" s="2" t="s">
        <v>161</v>
      </c>
      <c r="C84" s="2" t="s">
        <v>14</v>
      </c>
      <c r="D84" s="2" t="s">
        <v>15</v>
      </c>
      <c r="E84" s="2" t="s">
        <v>16</v>
      </c>
      <c r="F84" s="2">
        <v>104</v>
      </c>
      <c r="G84" s="2">
        <v>90</v>
      </c>
      <c r="H84" s="2" t="s">
        <v>21</v>
      </c>
      <c r="I84" s="2" t="s">
        <v>18</v>
      </c>
      <c r="J84" s="2"/>
    </row>
    <row r="85" spans="1:10">
      <c r="A85" s="3" t="s">
        <v>163</v>
      </c>
      <c r="B85" s="3" t="s">
        <v>161</v>
      </c>
      <c r="C85" s="3" t="s">
        <v>14</v>
      </c>
      <c r="D85" s="3" t="s">
        <v>27</v>
      </c>
      <c r="E85" s="3" t="s">
        <v>164</v>
      </c>
      <c r="F85" s="3">
        <v>163</v>
      </c>
      <c r="G85" s="3">
        <v>163</v>
      </c>
      <c r="H85" s="3" t="s">
        <v>21</v>
      </c>
      <c r="I85" s="3" t="s">
        <v>18</v>
      </c>
      <c r="J85" s="3"/>
    </row>
    <row r="86" spans="1:10">
      <c r="A86" s="2" t="s">
        <v>165</v>
      </c>
      <c r="B86" s="2" t="s">
        <v>161</v>
      </c>
      <c r="C86" s="2" t="s">
        <v>14</v>
      </c>
      <c r="D86" s="2" t="s">
        <v>15</v>
      </c>
      <c r="E86" s="2" t="s">
        <v>16</v>
      </c>
      <c r="F86" s="2">
        <v>70</v>
      </c>
      <c r="G86" s="2">
        <v>66</v>
      </c>
      <c r="H86" s="2" t="s">
        <v>31</v>
      </c>
      <c r="I86" s="2" t="s">
        <v>18</v>
      </c>
      <c r="J86" s="2" t="s">
        <v>166</v>
      </c>
    </row>
    <row r="87" spans="1:10" ht="26.45">
      <c r="A87" s="3" t="s">
        <v>167</v>
      </c>
      <c r="B87" s="3" t="s">
        <v>161</v>
      </c>
      <c r="C87" s="3" t="s">
        <v>14</v>
      </c>
      <c r="D87" s="3" t="s">
        <v>15</v>
      </c>
      <c r="E87" s="3" t="s">
        <v>16</v>
      </c>
      <c r="F87" s="3">
        <v>330</v>
      </c>
      <c r="G87" s="3">
        <v>330</v>
      </c>
      <c r="H87" s="3" t="s">
        <v>21</v>
      </c>
      <c r="I87" s="3" t="s">
        <v>95</v>
      </c>
      <c r="J87" s="3"/>
    </row>
    <row r="88" spans="1:10">
      <c r="A88" s="2" t="s">
        <v>168</v>
      </c>
      <c r="B88" s="2" t="s">
        <v>161</v>
      </c>
      <c r="C88" s="2" t="s">
        <v>14</v>
      </c>
      <c r="D88" s="2" t="s">
        <v>15</v>
      </c>
      <c r="E88" s="2" t="s">
        <v>16</v>
      </c>
      <c r="F88" s="2">
        <v>231</v>
      </c>
      <c r="G88" s="2">
        <v>231</v>
      </c>
      <c r="H88" s="2" t="s">
        <v>21</v>
      </c>
      <c r="I88" s="2" t="s">
        <v>18</v>
      </c>
      <c r="J88" s="2"/>
    </row>
    <row r="89" spans="1:10">
      <c r="A89" s="3" t="s">
        <v>169</v>
      </c>
      <c r="B89" s="3" t="s">
        <v>161</v>
      </c>
      <c r="C89" s="3" t="s">
        <v>14</v>
      </c>
      <c r="D89" s="3" t="s">
        <v>15</v>
      </c>
      <c r="E89" s="3" t="s">
        <v>16</v>
      </c>
      <c r="F89" s="3">
        <v>20</v>
      </c>
      <c r="G89" s="3">
        <v>20</v>
      </c>
      <c r="H89" s="3" t="s">
        <v>31</v>
      </c>
      <c r="I89" s="3" t="s">
        <v>18</v>
      </c>
      <c r="J89" s="3"/>
    </row>
    <row r="90" spans="1:10">
      <c r="A90" s="2" t="s">
        <v>170</v>
      </c>
      <c r="B90" s="2" t="s">
        <v>161</v>
      </c>
      <c r="C90" s="2" t="s">
        <v>14</v>
      </c>
      <c r="D90" s="2" t="s">
        <v>171</v>
      </c>
      <c r="E90" s="2" t="s">
        <v>172</v>
      </c>
      <c r="F90" s="2">
        <v>25</v>
      </c>
      <c r="G90" s="2">
        <v>25</v>
      </c>
      <c r="H90" s="2" t="s">
        <v>49</v>
      </c>
      <c r="I90" s="2" t="s">
        <v>18</v>
      </c>
      <c r="J90" s="2"/>
    </row>
    <row r="91" spans="1:10">
      <c r="A91" s="3" t="s">
        <v>173</v>
      </c>
      <c r="B91" s="3" t="s">
        <v>161</v>
      </c>
      <c r="C91" s="3" t="s">
        <v>14</v>
      </c>
      <c r="D91" s="3" t="s">
        <v>27</v>
      </c>
      <c r="E91" s="3" t="s">
        <v>42</v>
      </c>
      <c r="F91" s="3">
        <v>341</v>
      </c>
      <c r="G91" s="3">
        <v>341</v>
      </c>
      <c r="H91" s="3" t="s">
        <v>21</v>
      </c>
      <c r="I91" s="3" t="s">
        <v>18</v>
      </c>
      <c r="J91" s="3"/>
    </row>
    <row r="92" spans="1:10">
      <c r="A92" s="2" t="s">
        <v>174</v>
      </c>
      <c r="B92" s="2" t="s">
        <v>161</v>
      </c>
      <c r="C92" s="2" t="s">
        <v>14</v>
      </c>
      <c r="D92" s="2" t="s">
        <v>15</v>
      </c>
      <c r="E92" s="2" t="s">
        <v>16</v>
      </c>
      <c r="F92" s="2">
        <v>400</v>
      </c>
      <c r="G92" s="2">
        <v>400</v>
      </c>
      <c r="H92" s="2" t="s">
        <v>21</v>
      </c>
      <c r="I92" s="2" t="s">
        <v>18</v>
      </c>
      <c r="J92" s="2"/>
    </row>
    <row r="93" spans="1:10" ht="26.45">
      <c r="A93" s="3" t="s">
        <v>175</v>
      </c>
      <c r="B93" s="3" t="s">
        <v>161</v>
      </c>
      <c r="C93" s="3" t="s">
        <v>14</v>
      </c>
      <c r="D93" s="3" t="s">
        <v>15</v>
      </c>
      <c r="E93" s="3" t="s">
        <v>16</v>
      </c>
      <c r="F93" s="3">
        <v>383</v>
      </c>
      <c r="G93" s="3">
        <v>383</v>
      </c>
      <c r="H93" s="3" t="s">
        <v>21</v>
      </c>
      <c r="I93" s="3" t="s">
        <v>95</v>
      </c>
      <c r="J93" s="3" t="s">
        <v>176</v>
      </c>
    </row>
    <row r="94" spans="1:10">
      <c r="A94" s="2" t="s">
        <v>177</v>
      </c>
      <c r="B94" s="2" t="s">
        <v>161</v>
      </c>
      <c r="C94" s="2" t="s">
        <v>14</v>
      </c>
      <c r="D94" s="2" t="s">
        <v>15</v>
      </c>
      <c r="E94" s="2" t="s">
        <v>16</v>
      </c>
      <c r="F94" s="2">
        <v>100</v>
      </c>
      <c r="G94" s="2">
        <v>100</v>
      </c>
      <c r="H94" s="2" t="s">
        <v>31</v>
      </c>
      <c r="I94" s="2" t="s">
        <v>18</v>
      </c>
      <c r="J94" s="2" t="s">
        <v>149</v>
      </c>
    </row>
    <row r="95" spans="1:10">
      <c r="A95" s="3" t="s">
        <v>178</v>
      </c>
      <c r="B95" s="3" t="s">
        <v>161</v>
      </c>
      <c r="C95" s="3" t="s">
        <v>14</v>
      </c>
      <c r="D95" s="3" t="s">
        <v>146</v>
      </c>
      <c r="E95" s="3" t="s">
        <v>179</v>
      </c>
      <c r="F95" s="3">
        <v>86</v>
      </c>
      <c r="G95" s="3">
        <v>86</v>
      </c>
      <c r="H95" s="3" t="s">
        <v>29</v>
      </c>
      <c r="I95" s="3" t="s">
        <v>18</v>
      </c>
      <c r="J95" s="3"/>
    </row>
    <row r="96" spans="1:10">
      <c r="A96" s="2" t="s">
        <v>180</v>
      </c>
      <c r="B96" s="2" t="s">
        <v>181</v>
      </c>
      <c r="C96" s="2" t="s">
        <v>14</v>
      </c>
      <c r="D96" s="2" t="s">
        <v>182</v>
      </c>
      <c r="E96" s="2" t="s">
        <v>182</v>
      </c>
      <c r="F96" s="2">
        <v>410</v>
      </c>
      <c r="G96" s="2">
        <v>410</v>
      </c>
      <c r="H96" s="2" t="s">
        <v>21</v>
      </c>
      <c r="I96" s="2" t="s">
        <v>18</v>
      </c>
      <c r="J96" s="2"/>
    </row>
    <row r="97" spans="1:10">
      <c r="A97" s="3" t="s">
        <v>183</v>
      </c>
      <c r="B97" s="3" t="s">
        <v>181</v>
      </c>
      <c r="C97" s="3" t="s">
        <v>44</v>
      </c>
      <c r="D97" s="3" t="s">
        <v>15</v>
      </c>
      <c r="E97" s="3" t="s">
        <v>16</v>
      </c>
      <c r="F97" s="3">
        <v>54</v>
      </c>
      <c r="G97" s="3">
        <v>54</v>
      </c>
      <c r="H97" s="3" t="s">
        <v>29</v>
      </c>
      <c r="I97" s="3" t="s">
        <v>18</v>
      </c>
      <c r="J97" s="3"/>
    </row>
    <row r="98" spans="1:10">
      <c r="A98" s="2" t="s">
        <v>184</v>
      </c>
      <c r="B98" s="2" t="s">
        <v>181</v>
      </c>
      <c r="C98" s="2" t="s">
        <v>44</v>
      </c>
      <c r="D98" s="2" t="s">
        <v>15</v>
      </c>
      <c r="E98" s="2" t="s">
        <v>16</v>
      </c>
      <c r="F98" s="2">
        <v>109</v>
      </c>
      <c r="G98" s="2">
        <v>109</v>
      </c>
      <c r="H98" s="2" t="s">
        <v>29</v>
      </c>
      <c r="I98" s="2" t="s">
        <v>18</v>
      </c>
      <c r="J98" s="2"/>
    </row>
    <row r="99" spans="1:10">
      <c r="A99" s="3" t="s">
        <v>185</v>
      </c>
      <c r="B99" s="3" t="s">
        <v>181</v>
      </c>
      <c r="C99" s="3" t="s">
        <v>186</v>
      </c>
      <c r="D99" s="3" t="s">
        <v>182</v>
      </c>
      <c r="E99" s="3" t="s">
        <v>182</v>
      </c>
      <c r="F99" s="3">
        <v>230</v>
      </c>
      <c r="G99" s="3">
        <v>230</v>
      </c>
      <c r="H99" s="3" t="s">
        <v>21</v>
      </c>
      <c r="I99" s="3" t="s">
        <v>18</v>
      </c>
      <c r="J99" s="3"/>
    </row>
    <row r="100" spans="1:10">
      <c r="A100" s="2" t="s">
        <v>187</v>
      </c>
      <c r="B100" s="2" t="s">
        <v>181</v>
      </c>
      <c r="C100" s="2" t="s">
        <v>44</v>
      </c>
      <c r="D100" s="2" t="s">
        <v>27</v>
      </c>
      <c r="E100" s="2" t="s">
        <v>188</v>
      </c>
      <c r="F100" s="2">
        <v>105</v>
      </c>
      <c r="G100" s="2">
        <v>105</v>
      </c>
      <c r="H100" s="2" t="s">
        <v>29</v>
      </c>
      <c r="I100" s="2" t="s">
        <v>18</v>
      </c>
      <c r="J100" s="2"/>
    </row>
    <row r="101" spans="1:10">
      <c r="A101" s="3" t="s">
        <v>189</v>
      </c>
      <c r="B101" s="3" t="s">
        <v>181</v>
      </c>
      <c r="C101" s="3" t="s">
        <v>44</v>
      </c>
      <c r="D101" s="3" t="s">
        <v>182</v>
      </c>
      <c r="E101" s="3" t="s">
        <v>182</v>
      </c>
      <c r="F101" s="3">
        <v>105</v>
      </c>
      <c r="G101" s="3">
        <v>105</v>
      </c>
      <c r="H101" s="3" t="s">
        <v>29</v>
      </c>
      <c r="I101" s="3" t="s">
        <v>18</v>
      </c>
      <c r="J101" s="3"/>
    </row>
    <row r="102" spans="1:10">
      <c r="A102" s="2" t="s">
        <v>190</v>
      </c>
      <c r="B102" s="2" t="s">
        <v>181</v>
      </c>
      <c r="C102" s="2" t="s">
        <v>69</v>
      </c>
      <c r="D102" s="2" t="s">
        <v>27</v>
      </c>
      <c r="E102" s="2" t="s">
        <v>191</v>
      </c>
      <c r="F102" s="2">
        <v>100</v>
      </c>
      <c r="G102" s="2">
        <v>100</v>
      </c>
      <c r="H102" s="2" t="s">
        <v>71</v>
      </c>
      <c r="I102" s="2" t="s">
        <v>18</v>
      </c>
      <c r="J102" s="2"/>
    </row>
    <row r="103" spans="1:10">
      <c r="A103" s="3" t="s">
        <v>192</v>
      </c>
      <c r="B103" s="3" t="s">
        <v>181</v>
      </c>
      <c r="C103" s="3" t="s">
        <v>114</v>
      </c>
      <c r="D103" s="3" t="s">
        <v>193</v>
      </c>
      <c r="E103" s="3" t="s">
        <v>193</v>
      </c>
      <c r="F103" s="3">
        <v>1234</v>
      </c>
      <c r="G103" s="3">
        <v>1234</v>
      </c>
      <c r="H103" s="3" t="s">
        <v>194</v>
      </c>
      <c r="I103" s="3" t="s">
        <v>18</v>
      </c>
      <c r="J103" s="3" t="s">
        <v>195</v>
      </c>
    </row>
    <row r="104" spans="1:10">
      <c r="A104" s="2" t="s">
        <v>196</v>
      </c>
      <c r="B104" s="2" t="s">
        <v>181</v>
      </c>
      <c r="C104" s="2" t="s">
        <v>197</v>
      </c>
      <c r="D104" s="2" t="s">
        <v>15</v>
      </c>
      <c r="E104" s="2" t="s">
        <v>16</v>
      </c>
      <c r="F104" s="2">
        <v>336</v>
      </c>
      <c r="G104" s="2">
        <v>336</v>
      </c>
      <c r="H104" s="2" t="s">
        <v>21</v>
      </c>
      <c r="I104" s="2" t="s">
        <v>18</v>
      </c>
      <c r="J104" s="2"/>
    </row>
    <row r="105" spans="1:10">
      <c r="A105" s="3" t="s">
        <v>198</v>
      </c>
      <c r="B105" s="3" t="s">
        <v>199</v>
      </c>
      <c r="C105" s="3" t="s">
        <v>44</v>
      </c>
      <c r="D105" s="3" t="s">
        <v>27</v>
      </c>
      <c r="E105" s="3" t="s">
        <v>42</v>
      </c>
      <c r="F105" s="3">
        <v>110</v>
      </c>
      <c r="G105" s="3">
        <v>110</v>
      </c>
      <c r="H105" s="3" t="s">
        <v>29</v>
      </c>
      <c r="I105" s="3" t="s">
        <v>18</v>
      </c>
      <c r="J105" s="3"/>
    </row>
    <row r="106" spans="1:10">
      <c r="A106" s="2" t="s">
        <v>200</v>
      </c>
      <c r="B106" s="2" t="s">
        <v>199</v>
      </c>
      <c r="C106" s="2" t="s">
        <v>14</v>
      </c>
      <c r="D106" s="2" t="s">
        <v>15</v>
      </c>
      <c r="E106" s="2" t="s">
        <v>16</v>
      </c>
      <c r="F106" s="2">
        <v>194</v>
      </c>
      <c r="G106" s="2">
        <v>194</v>
      </c>
      <c r="H106" s="2" t="s">
        <v>21</v>
      </c>
      <c r="I106" s="2" t="s">
        <v>18</v>
      </c>
      <c r="J106" s="2"/>
    </row>
    <row r="107" spans="1:10">
      <c r="A107" s="3" t="s">
        <v>201</v>
      </c>
      <c r="B107" s="3" t="s">
        <v>199</v>
      </c>
      <c r="C107" s="3" t="s">
        <v>114</v>
      </c>
      <c r="D107" s="3" t="s">
        <v>202</v>
      </c>
      <c r="E107" s="3" t="s">
        <v>202</v>
      </c>
      <c r="F107" s="3">
        <v>1244</v>
      </c>
      <c r="G107" s="3">
        <v>1244</v>
      </c>
      <c r="H107" s="3" t="s">
        <v>24</v>
      </c>
      <c r="I107" s="3" t="s">
        <v>18</v>
      </c>
      <c r="J107" s="3"/>
    </row>
    <row r="108" spans="1:10">
      <c r="A108" s="2" t="s">
        <v>203</v>
      </c>
      <c r="B108" s="2" t="s">
        <v>199</v>
      </c>
      <c r="C108" s="2" t="s">
        <v>44</v>
      </c>
      <c r="D108" s="2" t="s">
        <v>27</v>
      </c>
      <c r="E108" s="2" t="s">
        <v>204</v>
      </c>
      <c r="F108" s="2">
        <v>150</v>
      </c>
      <c r="G108" s="2">
        <v>150</v>
      </c>
      <c r="H108" s="2" t="s">
        <v>29</v>
      </c>
      <c r="I108" s="2" t="s">
        <v>18</v>
      </c>
      <c r="J108" s="2"/>
    </row>
    <row r="109" spans="1:10">
      <c r="A109" s="3" t="s">
        <v>205</v>
      </c>
      <c r="B109" s="3" t="s">
        <v>199</v>
      </c>
      <c r="C109" s="3" t="s">
        <v>114</v>
      </c>
      <c r="D109" s="3" t="s">
        <v>27</v>
      </c>
      <c r="E109" s="3" t="s">
        <v>27</v>
      </c>
      <c r="F109" s="3">
        <v>307</v>
      </c>
      <c r="G109" s="3">
        <v>307</v>
      </c>
      <c r="H109" s="3" t="s">
        <v>24</v>
      </c>
      <c r="I109" s="3" t="s">
        <v>18</v>
      </c>
      <c r="J109" s="3"/>
    </row>
    <row r="110" spans="1:10">
      <c r="A110" s="2" t="s">
        <v>206</v>
      </c>
      <c r="B110" s="2" t="s">
        <v>199</v>
      </c>
      <c r="C110" s="2" t="s">
        <v>69</v>
      </c>
      <c r="D110" s="2" t="s">
        <v>15</v>
      </c>
      <c r="E110" s="2" t="s">
        <v>16</v>
      </c>
      <c r="F110" s="2">
        <v>1</v>
      </c>
      <c r="G110" s="2">
        <v>1</v>
      </c>
      <c r="H110" s="2" t="s">
        <v>71</v>
      </c>
      <c r="I110" s="2" t="s">
        <v>18</v>
      </c>
      <c r="J110" s="2"/>
    </row>
    <row r="111" spans="1:10">
      <c r="A111" s="3" t="s">
        <v>207</v>
      </c>
      <c r="B111" s="3" t="s">
        <v>199</v>
      </c>
      <c r="C111" s="3" t="s">
        <v>197</v>
      </c>
      <c r="D111" s="3" t="s">
        <v>27</v>
      </c>
      <c r="E111" s="3" t="s">
        <v>208</v>
      </c>
      <c r="F111" s="3">
        <v>220</v>
      </c>
      <c r="G111" s="3">
        <v>220</v>
      </c>
      <c r="H111" s="3" t="s">
        <v>21</v>
      </c>
      <c r="I111" s="3" t="s">
        <v>18</v>
      </c>
      <c r="J111" s="3"/>
    </row>
    <row r="112" spans="1:10">
      <c r="A112" s="2" t="s">
        <v>209</v>
      </c>
      <c r="B112" s="2" t="s">
        <v>210</v>
      </c>
      <c r="C112" s="2" t="s">
        <v>14</v>
      </c>
      <c r="D112" s="2" t="s">
        <v>15</v>
      </c>
      <c r="E112" s="2" t="s">
        <v>16</v>
      </c>
      <c r="F112" s="2">
        <v>71</v>
      </c>
      <c r="G112" s="2">
        <v>71</v>
      </c>
      <c r="H112" s="2" t="s">
        <v>31</v>
      </c>
      <c r="I112" s="2" t="s">
        <v>18</v>
      </c>
      <c r="J112" s="2" t="s">
        <v>22</v>
      </c>
    </row>
    <row r="113" spans="1:10" ht="26.45">
      <c r="A113" s="3" t="s">
        <v>211</v>
      </c>
      <c r="B113" s="3" t="s">
        <v>210</v>
      </c>
      <c r="C113" s="3" t="s">
        <v>14</v>
      </c>
      <c r="D113" s="3" t="s">
        <v>15</v>
      </c>
      <c r="E113" s="3" t="s">
        <v>16</v>
      </c>
      <c r="F113" s="3">
        <v>100</v>
      </c>
      <c r="G113" s="3">
        <v>100</v>
      </c>
      <c r="H113" s="3" t="s">
        <v>31</v>
      </c>
      <c r="I113" s="3" t="s">
        <v>95</v>
      </c>
      <c r="J113" s="3"/>
    </row>
    <row r="114" spans="1:10">
      <c r="A114" s="2" t="s">
        <v>212</v>
      </c>
      <c r="B114" s="2" t="s">
        <v>210</v>
      </c>
      <c r="C114" s="2" t="s">
        <v>44</v>
      </c>
      <c r="D114" s="2" t="s">
        <v>15</v>
      </c>
      <c r="E114" s="2" t="s">
        <v>16</v>
      </c>
      <c r="F114" s="2">
        <v>52</v>
      </c>
      <c r="G114" s="2">
        <v>52</v>
      </c>
      <c r="H114" s="2" t="s">
        <v>29</v>
      </c>
      <c r="I114" s="2" t="s">
        <v>18</v>
      </c>
      <c r="J114" s="2"/>
    </row>
    <row r="115" spans="1:10">
      <c r="A115" s="3" t="s">
        <v>213</v>
      </c>
      <c r="B115" s="3" t="s">
        <v>210</v>
      </c>
      <c r="C115" s="3" t="s">
        <v>44</v>
      </c>
      <c r="D115" s="3" t="s">
        <v>15</v>
      </c>
      <c r="E115" s="3" t="s">
        <v>16</v>
      </c>
      <c r="F115" s="3">
        <v>71</v>
      </c>
      <c r="G115" s="3">
        <v>71</v>
      </c>
      <c r="H115" s="3" t="s">
        <v>29</v>
      </c>
      <c r="I115" s="3" t="s">
        <v>18</v>
      </c>
      <c r="J115" s="3"/>
    </row>
    <row r="116" spans="1:10">
      <c r="A116" s="2" t="s">
        <v>214</v>
      </c>
      <c r="B116" s="2" t="s">
        <v>210</v>
      </c>
      <c r="C116" s="2" t="s">
        <v>44</v>
      </c>
      <c r="D116" s="2" t="s">
        <v>15</v>
      </c>
      <c r="E116" s="2" t="s">
        <v>16</v>
      </c>
      <c r="F116" s="2">
        <v>104</v>
      </c>
      <c r="G116" s="2">
        <v>104</v>
      </c>
      <c r="H116" s="2" t="s">
        <v>29</v>
      </c>
      <c r="I116" s="2" t="s">
        <v>18</v>
      </c>
      <c r="J116" s="2"/>
    </row>
    <row r="117" spans="1:10">
      <c r="A117" s="3" t="s">
        <v>215</v>
      </c>
      <c r="B117" s="3" t="s">
        <v>210</v>
      </c>
      <c r="C117" s="3" t="s">
        <v>44</v>
      </c>
      <c r="D117" s="3" t="s">
        <v>15</v>
      </c>
      <c r="E117" s="3" t="s">
        <v>16</v>
      </c>
      <c r="F117" s="3">
        <v>50</v>
      </c>
      <c r="G117" s="3">
        <v>50</v>
      </c>
      <c r="H117" s="3" t="s">
        <v>29</v>
      </c>
      <c r="I117" s="3" t="s">
        <v>18</v>
      </c>
      <c r="J117" s="3"/>
    </row>
    <row r="118" spans="1:10">
      <c r="A118" s="2" t="s">
        <v>216</v>
      </c>
      <c r="B118" s="2" t="s">
        <v>210</v>
      </c>
      <c r="C118" s="2" t="s">
        <v>44</v>
      </c>
      <c r="D118" s="2" t="s">
        <v>15</v>
      </c>
      <c r="E118" s="2" t="s">
        <v>16</v>
      </c>
      <c r="F118" s="2">
        <v>50</v>
      </c>
      <c r="G118" s="2">
        <v>50</v>
      </c>
      <c r="H118" s="2" t="s">
        <v>29</v>
      </c>
      <c r="I118" s="2" t="s">
        <v>18</v>
      </c>
      <c r="J118" s="2"/>
    </row>
    <row r="119" spans="1:10">
      <c r="A119" s="3" t="s">
        <v>217</v>
      </c>
      <c r="B119" s="3" t="s">
        <v>210</v>
      </c>
      <c r="C119" s="3" t="s">
        <v>14</v>
      </c>
      <c r="D119" s="3" t="s">
        <v>182</v>
      </c>
      <c r="E119" s="3" t="s">
        <v>182</v>
      </c>
      <c r="F119" s="3">
        <v>210</v>
      </c>
      <c r="G119" s="3">
        <v>210</v>
      </c>
      <c r="H119" s="3" t="s">
        <v>21</v>
      </c>
      <c r="I119" s="3" t="s">
        <v>18</v>
      </c>
      <c r="J119" s="3"/>
    </row>
    <row r="120" spans="1:10">
      <c r="A120" s="2" t="s">
        <v>218</v>
      </c>
      <c r="B120" s="2" t="s">
        <v>210</v>
      </c>
      <c r="C120" s="2" t="s">
        <v>14</v>
      </c>
      <c r="D120" s="2" t="s">
        <v>182</v>
      </c>
      <c r="E120" s="2" t="s">
        <v>182</v>
      </c>
      <c r="F120" s="2">
        <v>220</v>
      </c>
      <c r="G120" s="2">
        <v>220</v>
      </c>
      <c r="H120" s="2" t="s">
        <v>21</v>
      </c>
      <c r="I120" s="2" t="s">
        <v>18</v>
      </c>
      <c r="J120" s="2" t="s">
        <v>22</v>
      </c>
    </row>
    <row r="121" spans="1:10">
      <c r="A121" s="3" t="s">
        <v>219</v>
      </c>
      <c r="B121" s="3" t="s">
        <v>210</v>
      </c>
      <c r="C121" s="3" t="s">
        <v>14</v>
      </c>
      <c r="D121" s="3" t="s">
        <v>182</v>
      </c>
      <c r="E121" s="3" t="s">
        <v>182</v>
      </c>
      <c r="F121" s="3">
        <v>220</v>
      </c>
      <c r="G121" s="3">
        <v>220</v>
      </c>
      <c r="H121" s="3" t="s">
        <v>21</v>
      </c>
      <c r="I121" s="3" t="s">
        <v>18</v>
      </c>
      <c r="J121" s="3" t="s">
        <v>22</v>
      </c>
    </row>
    <row r="122" spans="1:10">
      <c r="A122" s="2" t="s">
        <v>220</v>
      </c>
      <c r="B122" s="2" t="s">
        <v>210</v>
      </c>
      <c r="C122" s="2" t="s">
        <v>14</v>
      </c>
      <c r="D122" s="2" t="s">
        <v>27</v>
      </c>
      <c r="E122" s="2" t="s">
        <v>27</v>
      </c>
      <c r="F122" s="2">
        <v>414</v>
      </c>
      <c r="G122" s="2">
        <v>414</v>
      </c>
      <c r="H122" s="2" t="s">
        <v>21</v>
      </c>
      <c r="I122" s="2" t="s">
        <v>18</v>
      </c>
      <c r="J122" s="2"/>
    </row>
    <row r="123" spans="1:10">
      <c r="A123" s="3" t="s">
        <v>221</v>
      </c>
      <c r="B123" s="3" t="s">
        <v>210</v>
      </c>
      <c r="C123" s="3" t="s">
        <v>44</v>
      </c>
      <c r="D123" s="3" t="s">
        <v>27</v>
      </c>
      <c r="E123" s="3" t="s">
        <v>222</v>
      </c>
      <c r="F123" s="3">
        <v>52</v>
      </c>
      <c r="G123" s="3">
        <v>52</v>
      </c>
      <c r="H123" s="3" t="s">
        <v>29</v>
      </c>
      <c r="I123" s="3" t="s">
        <v>18</v>
      </c>
      <c r="J123" s="3"/>
    </row>
    <row r="124" spans="1:10">
      <c r="A124" s="2" t="s">
        <v>223</v>
      </c>
      <c r="B124" s="2" t="s">
        <v>210</v>
      </c>
      <c r="C124" s="2" t="s">
        <v>44</v>
      </c>
      <c r="D124" s="2" t="s">
        <v>27</v>
      </c>
      <c r="E124" s="2" t="s">
        <v>224</v>
      </c>
      <c r="F124" s="2">
        <v>113</v>
      </c>
      <c r="G124" s="2">
        <v>113</v>
      </c>
      <c r="H124" s="2" t="s">
        <v>29</v>
      </c>
      <c r="I124" s="2" t="s">
        <v>18</v>
      </c>
      <c r="J124" s="2"/>
    </row>
    <row r="125" spans="1:10">
      <c r="A125" s="3" t="s">
        <v>225</v>
      </c>
      <c r="B125" s="3" t="s">
        <v>210</v>
      </c>
      <c r="C125" s="3" t="s">
        <v>44</v>
      </c>
      <c r="D125" s="3" t="s">
        <v>27</v>
      </c>
      <c r="E125" s="3" t="s">
        <v>224</v>
      </c>
      <c r="F125" s="3">
        <v>113</v>
      </c>
      <c r="G125" s="3">
        <v>113</v>
      </c>
      <c r="H125" s="3" t="s">
        <v>29</v>
      </c>
      <c r="I125" s="3" t="s">
        <v>18</v>
      </c>
      <c r="J125" s="3"/>
    </row>
    <row r="126" spans="1:10">
      <c r="A126" s="2" t="s">
        <v>226</v>
      </c>
      <c r="B126" s="2" t="s">
        <v>210</v>
      </c>
      <c r="C126" s="2" t="s">
        <v>69</v>
      </c>
      <c r="D126" s="2" t="s">
        <v>182</v>
      </c>
      <c r="E126" s="2" t="s">
        <v>182</v>
      </c>
      <c r="F126" s="2">
        <v>6</v>
      </c>
      <c r="G126" s="2">
        <v>6</v>
      </c>
      <c r="H126" s="2" t="s">
        <v>71</v>
      </c>
      <c r="I126" s="2" t="s">
        <v>18</v>
      </c>
      <c r="J126" s="2"/>
    </row>
    <row r="127" spans="1:10">
      <c r="A127" s="3" t="s">
        <v>227</v>
      </c>
      <c r="B127" s="3" t="s">
        <v>210</v>
      </c>
      <c r="C127" s="3" t="s">
        <v>69</v>
      </c>
      <c r="D127" s="3" t="s">
        <v>27</v>
      </c>
      <c r="E127" s="3" t="s">
        <v>27</v>
      </c>
      <c r="F127" s="3">
        <v>68</v>
      </c>
      <c r="G127" s="3">
        <v>68</v>
      </c>
      <c r="H127" s="3" t="s">
        <v>71</v>
      </c>
      <c r="I127" s="3" t="s">
        <v>18</v>
      </c>
      <c r="J127" s="3"/>
    </row>
    <row r="128" spans="1:10">
      <c r="A128" s="2" t="s">
        <v>228</v>
      </c>
      <c r="B128" s="2" t="s">
        <v>210</v>
      </c>
      <c r="C128" s="2" t="s">
        <v>69</v>
      </c>
      <c r="D128" s="2" t="s">
        <v>27</v>
      </c>
      <c r="E128" s="2" t="s">
        <v>27</v>
      </c>
      <c r="F128" s="2">
        <v>100</v>
      </c>
      <c r="G128" s="2">
        <v>100</v>
      </c>
      <c r="H128" s="2" t="s">
        <v>71</v>
      </c>
      <c r="I128" s="2" t="s">
        <v>18</v>
      </c>
      <c r="J128" s="2"/>
    </row>
    <row r="129" spans="1:10">
      <c r="A129" s="3" t="s">
        <v>229</v>
      </c>
      <c r="B129" s="3" t="s">
        <v>210</v>
      </c>
      <c r="C129" s="3" t="s">
        <v>121</v>
      </c>
      <c r="D129" s="3" t="s">
        <v>15</v>
      </c>
      <c r="E129" s="3" t="s">
        <v>16</v>
      </c>
      <c r="F129" s="3">
        <v>2</v>
      </c>
      <c r="G129" s="3">
        <v>2</v>
      </c>
      <c r="H129" s="3" t="s">
        <v>121</v>
      </c>
      <c r="I129" s="3" t="s">
        <v>18</v>
      </c>
      <c r="J129" s="3"/>
    </row>
    <row r="130" spans="1:10">
      <c r="A130" s="2" t="s">
        <v>230</v>
      </c>
      <c r="B130" s="2" t="s">
        <v>210</v>
      </c>
      <c r="C130" s="2" t="s">
        <v>69</v>
      </c>
      <c r="D130" s="2" t="s">
        <v>27</v>
      </c>
      <c r="E130" s="2" t="s">
        <v>27</v>
      </c>
      <c r="F130" s="2">
        <v>65</v>
      </c>
      <c r="G130" s="2">
        <v>65</v>
      </c>
      <c r="H130" s="2" t="s">
        <v>71</v>
      </c>
      <c r="I130" s="2" t="s">
        <v>18</v>
      </c>
      <c r="J130" s="2"/>
    </row>
    <row r="131" spans="1:10">
      <c r="A131" s="3" t="s">
        <v>231</v>
      </c>
      <c r="B131" s="3" t="s">
        <v>232</v>
      </c>
      <c r="C131" s="3" t="s">
        <v>114</v>
      </c>
      <c r="D131" s="3" t="s">
        <v>15</v>
      </c>
      <c r="E131" s="3" t="s">
        <v>16</v>
      </c>
      <c r="F131" s="3">
        <v>250</v>
      </c>
      <c r="G131" s="3">
        <v>170</v>
      </c>
      <c r="H131" s="3" t="s">
        <v>24</v>
      </c>
      <c r="I131" s="3" t="s">
        <v>35</v>
      </c>
      <c r="J131" s="3" t="s">
        <v>233</v>
      </c>
    </row>
    <row r="132" spans="1:10" ht="26.45">
      <c r="A132" s="2" t="s">
        <v>234</v>
      </c>
      <c r="B132" s="2" t="s">
        <v>232</v>
      </c>
      <c r="C132" s="2" t="s">
        <v>114</v>
      </c>
      <c r="D132" s="2" t="s">
        <v>15</v>
      </c>
      <c r="E132" s="2" t="s">
        <v>16</v>
      </c>
      <c r="F132" s="2">
        <v>274</v>
      </c>
      <c r="G132" s="2">
        <v>274</v>
      </c>
      <c r="H132" s="2" t="s">
        <v>24</v>
      </c>
      <c r="I132" s="2" t="s">
        <v>95</v>
      </c>
      <c r="J132" s="2"/>
    </row>
    <row r="133" spans="1:10">
      <c r="A133" s="3" t="s">
        <v>235</v>
      </c>
      <c r="B133" s="3" t="s">
        <v>232</v>
      </c>
      <c r="C133" s="3" t="s">
        <v>236</v>
      </c>
      <c r="D133" s="3" t="s">
        <v>15</v>
      </c>
      <c r="E133" s="3" t="s">
        <v>16</v>
      </c>
      <c r="F133" s="3">
        <v>20</v>
      </c>
      <c r="G133" s="3">
        <v>20</v>
      </c>
      <c r="H133" s="3" t="s">
        <v>31</v>
      </c>
      <c r="I133" s="3" t="s">
        <v>18</v>
      </c>
      <c r="J133" s="3"/>
    </row>
    <row r="134" spans="1:10">
      <c r="A134" s="2" t="s">
        <v>237</v>
      </c>
      <c r="B134" s="2" t="s">
        <v>232</v>
      </c>
      <c r="C134" s="2" t="s">
        <v>44</v>
      </c>
      <c r="D134" s="2" t="s">
        <v>27</v>
      </c>
      <c r="E134" s="2" t="s">
        <v>224</v>
      </c>
      <c r="F134" s="2">
        <v>113</v>
      </c>
      <c r="G134" s="2">
        <v>113</v>
      </c>
      <c r="H134" s="2" t="s">
        <v>29</v>
      </c>
      <c r="I134" s="2" t="s">
        <v>18</v>
      </c>
      <c r="J134" s="2"/>
    </row>
    <row r="135" spans="1:10">
      <c r="A135" s="3" t="s">
        <v>238</v>
      </c>
      <c r="B135" s="3" t="s">
        <v>232</v>
      </c>
      <c r="C135" s="3" t="s">
        <v>236</v>
      </c>
      <c r="D135" s="3" t="s">
        <v>15</v>
      </c>
      <c r="E135" s="3" t="s">
        <v>16</v>
      </c>
      <c r="F135" s="3">
        <v>20</v>
      </c>
      <c r="G135" s="3">
        <v>20</v>
      </c>
      <c r="H135" s="3" t="s">
        <v>31</v>
      </c>
      <c r="I135" s="3" t="s">
        <v>18</v>
      </c>
      <c r="J135" s="3"/>
    </row>
    <row r="136" spans="1:10">
      <c r="A136" s="2" t="s">
        <v>239</v>
      </c>
      <c r="B136" s="2" t="s">
        <v>232</v>
      </c>
      <c r="C136" s="2" t="s">
        <v>69</v>
      </c>
      <c r="D136" s="2" t="s">
        <v>27</v>
      </c>
      <c r="E136" s="2" t="s">
        <v>240</v>
      </c>
      <c r="F136" s="2">
        <v>8</v>
      </c>
      <c r="G136" s="2">
        <v>8</v>
      </c>
      <c r="H136" s="2" t="s">
        <v>71</v>
      </c>
      <c r="I136" s="2" t="s">
        <v>18</v>
      </c>
      <c r="J136" s="2"/>
    </row>
    <row r="137" spans="1:10">
      <c r="A137" s="3" t="s">
        <v>241</v>
      </c>
      <c r="B137" s="3" t="s">
        <v>232</v>
      </c>
      <c r="C137" s="3" t="s">
        <v>44</v>
      </c>
      <c r="D137" s="3" t="s">
        <v>27</v>
      </c>
      <c r="E137" s="3" t="s">
        <v>242</v>
      </c>
      <c r="F137" s="3">
        <v>115</v>
      </c>
      <c r="G137" s="3">
        <v>115</v>
      </c>
      <c r="H137" s="3" t="s">
        <v>29</v>
      </c>
      <c r="I137" s="3" t="s">
        <v>18</v>
      </c>
      <c r="J137" s="3"/>
    </row>
    <row r="138" spans="1:10">
      <c r="A138" s="2" t="s">
        <v>243</v>
      </c>
      <c r="B138" s="2" t="s">
        <v>232</v>
      </c>
      <c r="C138" s="2" t="s">
        <v>69</v>
      </c>
      <c r="D138" s="2" t="s">
        <v>27</v>
      </c>
      <c r="E138" s="2" t="s">
        <v>244</v>
      </c>
      <c r="F138" s="2">
        <v>30</v>
      </c>
      <c r="G138" s="2">
        <v>30</v>
      </c>
      <c r="H138" s="2" t="s">
        <v>71</v>
      </c>
      <c r="I138" s="2" t="s">
        <v>18</v>
      </c>
      <c r="J138" s="2"/>
    </row>
    <row r="139" spans="1:10">
      <c r="A139" s="3" t="s">
        <v>245</v>
      </c>
      <c r="B139" s="3" t="s">
        <v>232</v>
      </c>
      <c r="C139" s="3" t="s">
        <v>69</v>
      </c>
      <c r="D139" s="3" t="s">
        <v>27</v>
      </c>
      <c r="E139" s="3" t="s">
        <v>246</v>
      </c>
      <c r="F139" s="3">
        <v>200</v>
      </c>
      <c r="G139" s="3">
        <v>200</v>
      </c>
      <c r="H139" s="3" t="s">
        <v>71</v>
      </c>
      <c r="I139" s="3" t="s">
        <v>18</v>
      </c>
      <c r="J139" s="3"/>
    </row>
    <row r="140" spans="1:10">
      <c r="A140" s="2" t="s">
        <v>247</v>
      </c>
      <c r="B140" s="2" t="s">
        <v>232</v>
      </c>
      <c r="C140" s="2" t="s">
        <v>236</v>
      </c>
      <c r="D140" s="2" t="s">
        <v>15</v>
      </c>
      <c r="E140" s="2" t="s">
        <v>16</v>
      </c>
      <c r="F140" s="2">
        <v>162</v>
      </c>
      <c r="G140" s="2">
        <v>162</v>
      </c>
      <c r="H140" s="2" t="s">
        <v>248</v>
      </c>
      <c r="I140" s="2" t="s">
        <v>249</v>
      </c>
      <c r="J140" s="2"/>
    </row>
    <row r="141" spans="1:10">
      <c r="A141" s="4" t="s">
        <v>250</v>
      </c>
      <c r="B141" s="4"/>
      <c r="C141" s="4"/>
      <c r="D141" s="4"/>
      <c r="E141" s="4"/>
      <c r="F141" s="4">
        <f>SUM(F4:F140)</f>
        <v>25613</v>
      </c>
      <c r="G141" s="4">
        <f>SUM(G4:G140)</f>
        <v>25258</v>
      </c>
      <c r="H141" s="4"/>
      <c r="I141" s="4"/>
      <c r="J141" s="4"/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L38"/>
  <sheetViews>
    <sheetView zoomScaleNormal="100" workbookViewId="0">
      <selection activeCell="E10" sqref="E10"/>
    </sheetView>
  </sheetViews>
  <sheetFormatPr defaultColWidth="8.7109375" defaultRowHeight="14.45"/>
  <cols>
    <col min="1" max="1" width="25" customWidth="1"/>
    <col min="2" max="4" width="22" customWidth="1"/>
    <col min="5" max="5" width="25" customWidth="1"/>
  </cols>
  <sheetData>
    <row r="1" spans="1:12" ht="30" customHeight="1">
      <c r="A1" s="5" t="s">
        <v>251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9.5" customHeight="1">
      <c r="A2" s="6" t="s">
        <v>252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4.75" customHeight="1">
      <c r="A3" s="7" t="s">
        <v>253</v>
      </c>
      <c r="B3" s="7"/>
      <c r="C3" s="7"/>
      <c r="D3" s="7"/>
      <c r="E3" s="7"/>
    </row>
    <row r="4" spans="1:12" ht="30" customHeight="1">
      <c r="A4" s="1" t="s">
        <v>4</v>
      </c>
      <c r="B4" s="1" t="s">
        <v>7</v>
      </c>
      <c r="C4" s="1" t="s">
        <v>8</v>
      </c>
    </row>
    <row r="5" spans="1:12">
      <c r="A5" s="3" t="s">
        <v>14</v>
      </c>
      <c r="B5" s="3">
        <v>12512</v>
      </c>
      <c r="C5" s="3">
        <v>12204</v>
      </c>
    </row>
    <row r="6" spans="1:12">
      <c r="A6" s="2" t="s">
        <v>254</v>
      </c>
      <c r="B6" s="2">
        <v>5641</v>
      </c>
      <c r="C6" s="2">
        <v>5634</v>
      </c>
    </row>
    <row r="7" spans="1:12">
      <c r="A7" s="3" t="s">
        <v>114</v>
      </c>
      <c r="B7" s="3">
        <v>7179</v>
      </c>
      <c r="C7" s="3">
        <v>7039</v>
      </c>
    </row>
    <row r="8" spans="1:12">
      <c r="A8" s="2" t="s">
        <v>69</v>
      </c>
      <c r="B8" s="2">
        <v>767</v>
      </c>
      <c r="C8" s="2">
        <v>767</v>
      </c>
    </row>
    <row r="9" spans="1:12">
      <c r="A9" s="3" t="s">
        <v>255</v>
      </c>
      <c r="B9" s="3">
        <v>768</v>
      </c>
      <c r="C9" s="3">
        <v>768</v>
      </c>
    </row>
    <row r="10" spans="1:12">
      <c r="A10" s="2" t="s">
        <v>256</v>
      </c>
      <c r="B10" s="2">
        <v>1160</v>
      </c>
      <c r="C10" s="2">
        <v>1160</v>
      </c>
    </row>
    <row r="11" spans="1:12">
      <c r="A11" s="3" t="s">
        <v>83</v>
      </c>
      <c r="B11" s="3">
        <v>230</v>
      </c>
      <c r="C11" s="3">
        <v>230</v>
      </c>
    </row>
    <row r="12" spans="1:12">
      <c r="A12" s="2" t="s">
        <v>121</v>
      </c>
      <c r="B12" s="2">
        <v>62</v>
      </c>
      <c r="C12" s="2">
        <v>62</v>
      </c>
    </row>
    <row r="13" spans="1:12">
      <c r="A13" s="3" t="s">
        <v>257</v>
      </c>
      <c r="B13" s="3">
        <v>40</v>
      </c>
      <c r="C13" s="3">
        <v>40</v>
      </c>
    </row>
    <row r="14" spans="1:12">
      <c r="A14" s="4" t="s">
        <v>250</v>
      </c>
      <c r="B14" s="4">
        <v>28359</v>
      </c>
      <c r="C14" s="4">
        <v>27904</v>
      </c>
    </row>
    <row r="16" spans="1:12" ht="24.75" customHeight="1">
      <c r="A16" s="7" t="s">
        <v>258</v>
      </c>
      <c r="B16" s="7"/>
      <c r="C16" s="7"/>
      <c r="D16" s="7"/>
      <c r="E16" s="7"/>
    </row>
    <row r="17" spans="1:5">
      <c r="A17" s="1" t="s">
        <v>259</v>
      </c>
      <c r="B17" s="1" t="s">
        <v>260</v>
      </c>
      <c r="C17" s="1" t="s">
        <v>261</v>
      </c>
      <c r="D17" s="1" t="s">
        <v>262</v>
      </c>
      <c r="E17" s="1" t="s">
        <v>11</v>
      </c>
    </row>
    <row r="18" spans="1:5">
      <c r="A18" s="2" t="s">
        <v>263</v>
      </c>
      <c r="B18" s="2">
        <v>16794</v>
      </c>
      <c r="C18" s="2" t="s">
        <v>264</v>
      </c>
      <c r="D18" s="2" t="s">
        <v>265</v>
      </c>
      <c r="E18" s="2" t="s">
        <v>266</v>
      </c>
    </row>
    <row r="19" spans="1:5" ht="26.45">
      <c r="A19" s="3" t="s">
        <v>267</v>
      </c>
      <c r="B19" s="3">
        <v>12780</v>
      </c>
      <c r="C19" s="3" t="s">
        <v>264</v>
      </c>
      <c r="D19" s="3" t="s">
        <v>268</v>
      </c>
      <c r="E19" s="3" t="s">
        <v>269</v>
      </c>
    </row>
    <row r="20" spans="1:5" ht="26.45">
      <c r="A20" s="2" t="s">
        <v>270</v>
      </c>
      <c r="B20" s="2" t="s">
        <v>271</v>
      </c>
      <c r="C20" s="2" t="s">
        <v>264</v>
      </c>
      <c r="D20" s="2" t="s">
        <v>272</v>
      </c>
      <c r="E20" s="2"/>
    </row>
    <row r="21" spans="1:5" ht="26.45">
      <c r="A21" s="3" t="s">
        <v>273</v>
      </c>
      <c r="B21" s="3">
        <v>260.63</v>
      </c>
      <c r="C21" s="3" t="s">
        <v>274</v>
      </c>
      <c r="D21" s="3" t="s">
        <v>275</v>
      </c>
      <c r="E21" s="3"/>
    </row>
    <row r="22" spans="1:5">
      <c r="A22" s="2" t="s">
        <v>276</v>
      </c>
      <c r="B22" s="2">
        <v>744</v>
      </c>
      <c r="C22" s="2" t="s">
        <v>277</v>
      </c>
      <c r="D22" s="2" t="s">
        <v>275</v>
      </c>
      <c r="E22" s="2"/>
    </row>
    <row r="23" spans="1:5" ht="26.45">
      <c r="A23" s="3" t="s">
        <v>278</v>
      </c>
      <c r="B23" s="3">
        <v>4132</v>
      </c>
      <c r="C23" s="3" t="s">
        <v>264</v>
      </c>
      <c r="D23" s="3" t="s">
        <v>275</v>
      </c>
      <c r="E23" s="3" t="s">
        <v>279</v>
      </c>
    </row>
    <row r="24" spans="1:5" ht="26.45">
      <c r="A24" s="2" t="s">
        <v>280</v>
      </c>
      <c r="B24" s="2">
        <v>1946</v>
      </c>
      <c r="C24" s="2" t="s">
        <v>264</v>
      </c>
      <c r="D24" s="2" t="s">
        <v>275</v>
      </c>
      <c r="E24" s="2"/>
    </row>
    <row r="27" spans="1:5" ht="24.75" customHeight="1">
      <c r="A27" s="7" t="s">
        <v>281</v>
      </c>
      <c r="B27" s="7"/>
      <c r="C27" s="7"/>
      <c r="D27" s="7"/>
      <c r="E27" s="7"/>
    </row>
    <row r="28" spans="1:5">
      <c r="A28" s="1" t="s">
        <v>3</v>
      </c>
      <c r="B28" s="1" t="s">
        <v>282</v>
      </c>
      <c r="C28" s="1" t="s">
        <v>283</v>
      </c>
      <c r="D28" s="1" t="s">
        <v>284</v>
      </c>
      <c r="E28" s="1" t="s">
        <v>11</v>
      </c>
    </row>
    <row r="29" spans="1:5">
      <c r="A29" s="3" t="s">
        <v>13</v>
      </c>
      <c r="B29" s="3">
        <v>4698</v>
      </c>
      <c r="C29" s="3">
        <v>0</v>
      </c>
      <c r="D29" s="3">
        <v>4698</v>
      </c>
      <c r="E29" s="3"/>
    </row>
    <row r="30" spans="1:5">
      <c r="A30" s="2" t="s">
        <v>285</v>
      </c>
      <c r="B30" s="2">
        <v>1172</v>
      </c>
      <c r="C30" s="2">
        <v>0</v>
      </c>
      <c r="D30" s="2">
        <v>1172</v>
      </c>
      <c r="E30" s="2"/>
    </row>
    <row r="31" spans="1:5">
      <c r="A31" s="3" t="s">
        <v>181</v>
      </c>
      <c r="B31" s="3">
        <v>1307</v>
      </c>
      <c r="C31" s="3">
        <v>0</v>
      </c>
      <c r="D31" s="3">
        <v>1307</v>
      </c>
      <c r="E31" s="3"/>
    </row>
    <row r="32" spans="1:5">
      <c r="A32" s="2" t="s">
        <v>210</v>
      </c>
      <c r="B32" s="2">
        <v>1162</v>
      </c>
      <c r="C32" s="2">
        <v>0</v>
      </c>
      <c r="D32" s="2">
        <v>1162</v>
      </c>
      <c r="E32" s="2"/>
    </row>
    <row r="33" spans="1:5">
      <c r="A33" s="3" t="s">
        <v>286</v>
      </c>
      <c r="B33" s="3">
        <v>1040</v>
      </c>
      <c r="C33" s="3">
        <v>0</v>
      </c>
      <c r="D33" s="3">
        <v>1040</v>
      </c>
      <c r="E33" s="3"/>
    </row>
    <row r="34" spans="1:5">
      <c r="A34" s="2" t="s">
        <v>151</v>
      </c>
      <c r="B34" s="2">
        <v>1097</v>
      </c>
      <c r="C34" s="2">
        <v>77</v>
      </c>
      <c r="D34" s="2">
        <v>1020</v>
      </c>
      <c r="E34" s="2" t="s">
        <v>287</v>
      </c>
    </row>
    <row r="35" spans="1:5">
      <c r="A35" s="3" t="s">
        <v>161</v>
      </c>
      <c r="B35" s="3">
        <v>430</v>
      </c>
      <c r="C35" s="3">
        <v>0</v>
      </c>
      <c r="D35" s="3">
        <v>430</v>
      </c>
      <c r="E35" s="3"/>
    </row>
    <row r="36" spans="1:5">
      <c r="A36" s="2" t="s">
        <v>288</v>
      </c>
      <c r="B36" s="2">
        <v>318</v>
      </c>
      <c r="C36" s="2">
        <v>0</v>
      </c>
      <c r="D36" s="2">
        <v>318</v>
      </c>
      <c r="E36" s="2"/>
    </row>
    <row r="37" spans="1:5">
      <c r="A37" s="3" t="s">
        <v>232</v>
      </c>
      <c r="B37" s="3">
        <v>805</v>
      </c>
      <c r="C37" s="3">
        <v>0</v>
      </c>
      <c r="D37" s="3">
        <v>805</v>
      </c>
      <c r="E37" s="3"/>
    </row>
    <row r="38" spans="1:5">
      <c r="A38" s="4" t="s">
        <v>250</v>
      </c>
      <c r="B38" s="4">
        <v>12029</v>
      </c>
      <c r="C38" s="4">
        <v>77</v>
      </c>
      <c r="D38" s="4">
        <v>11952</v>
      </c>
      <c r="E38" s="4"/>
    </row>
  </sheetData>
  <mergeCells count="5">
    <mergeCell ref="A1:L1"/>
    <mergeCell ref="A2:L2"/>
    <mergeCell ref="A3:E3"/>
    <mergeCell ref="A16:E16"/>
    <mergeCell ref="A27:E2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47A1"/>
  </sheetPr>
  <dimension ref="A1:M8"/>
  <sheetViews>
    <sheetView zoomScaleNormal="100" workbookViewId="0">
      <pane ySplit="3" topLeftCell="A4" activePane="bottomLeft" state="frozen"/>
      <selection pane="bottomLeft" activeCell="F4" sqref="F4:F6"/>
    </sheetView>
  </sheetViews>
  <sheetFormatPr defaultColWidth="8.7109375" defaultRowHeight="14.45"/>
  <cols>
    <col min="1" max="1" width="35" customWidth="1"/>
    <col min="2" max="3" width="14" customWidth="1"/>
    <col min="4" max="5" width="28" customWidth="1"/>
    <col min="6" max="6" width="16" customWidth="1"/>
    <col min="7" max="7" width="14" customWidth="1"/>
    <col min="8" max="8" width="12" customWidth="1"/>
    <col min="9" max="9" width="22" customWidth="1"/>
    <col min="10" max="10" width="20" customWidth="1"/>
    <col min="11" max="12" width="14" customWidth="1"/>
    <col min="13" max="13" width="55" customWidth="1"/>
  </cols>
  <sheetData>
    <row r="1" spans="1:13" ht="30" customHeight="1">
      <c r="A1" s="5" t="s">
        <v>289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9.5" customHeight="1">
      <c r="A2" s="6" t="s">
        <v>290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3" ht="39.75" customHeight="1">
      <c r="A3" s="1" t="s">
        <v>291</v>
      </c>
      <c r="B3" s="1" t="s">
        <v>292</v>
      </c>
      <c r="C3" s="1" t="s">
        <v>293</v>
      </c>
      <c r="D3" s="1" t="s">
        <v>294</v>
      </c>
      <c r="E3" s="1" t="s">
        <v>295</v>
      </c>
      <c r="F3" s="1" t="s">
        <v>296</v>
      </c>
      <c r="G3" s="1" t="s">
        <v>297</v>
      </c>
      <c r="H3" s="1" t="s">
        <v>298</v>
      </c>
      <c r="I3" s="1" t="s">
        <v>9</v>
      </c>
      <c r="J3" s="1" t="s">
        <v>299</v>
      </c>
      <c r="K3" s="1" t="s">
        <v>300</v>
      </c>
      <c r="L3" s="1" t="s">
        <v>10</v>
      </c>
      <c r="M3" s="1" t="s">
        <v>11</v>
      </c>
    </row>
    <row r="4" spans="1:13" ht="26.45">
      <c r="A4" s="2" t="s">
        <v>301</v>
      </c>
      <c r="B4" s="2" t="s">
        <v>302</v>
      </c>
      <c r="C4" s="2" t="s">
        <v>303</v>
      </c>
      <c r="D4" s="2" t="s">
        <v>304</v>
      </c>
      <c r="E4" s="2" t="s">
        <v>305</v>
      </c>
      <c r="F4" s="2">
        <v>500</v>
      </c>
      <c r="G4" s="2" t="s">
        <v>306</v>
      </c>
      <c r="H4" s="2" t="s">
        <v>307</v>
      </c>
      <c r="I4" s="2" t="s">
        <v>308</v>
      </c>
      <c r="J4" s="2" t="s">
        <v>309</v>
      </c>
      <c r="K4" s="2" t="s">
        <v>310</v>
      </c>
      <c r="L4" s="2" t="s">
        <v>18</v>
      </c>
      <c r="M4" s="2" t="s">
        <v>311</v>
      </c>
    </row>
    <row r="5" spans="1:13">
      <c r="A5" s="3" t="s">
        <v>312</v>
      </c>
      <c r="B5" s="3" t="s">
        <v>302</v>
      </c>
      <c r="C5" s="3" t="s">
        <v>303</v>
      </c>
      <c r="D5" s="3" t="s">
        <v>313</v>
      </c>
      <c r="E5" s="3" t="s">
        <v>286</v>
      </c>
      <c r="F5" s="3">
        <v>160</v>
      </c>
      <c r="G5" s="3" t="s">
        <v>314</v>
      </c>
      <c r="H5" s="3" t="s">
        <v>315</v>
      </c>
      <c r="I5" s="3" t="s">
        <v>316</v>
      </c>
      <c r="J5" s="3" t="s">
        <v>317</v>
      </c>
      <c r="K5" s="3" t="s">
        <v>310</v>
      </c>
      <c r="L5" s="3" t="s">
        <v>18</v>
      </c>
      <c r="M5" s="3" t="s">
        <v>318</v>
      </c>
    </row>
    <row r="6" spans="1:13" ht="26.45">
      <c r="A6" s="2" t="s">
        <v>319</v>
      </c>
      <c r="B6" s="2" t="s">
        <v>302</v>
      </c>
      <c r="C6" s="2" t="s">
        <v>303</v>
      </c>
      <c r="D6" s="2" t="s">
        <v>320</v>
      </c>
      <c r="E6" s="2" t="s">
        <v>321</v>
      </c>
      <c r="F6" s="2">
        <v>1496</v>
      </c>
      <c r="G6" s="2" t="s">
        <v>306</v>
      </c>
      <c r="H6" s="2" t="s">
        <v>322</v>
      </c>
      <c r="I6" s="2" t="s">
        <v>323</v>
      </c>
      <c r="J6" s="2" t="s">
        <v>317</v>
      </c>
      <c r="K6" s="2" t="s">
        <v>324</v>
      </c>
      <c r="L6" s="2" t="s">
        <v>18</v>
      </c>
      <c r="M6" s="2" t="s">
        <v>325</v>
      </c>
    </row>
    <row r="7" spans="1:13">
      <c r="A7" s="3" t="s">
        <v>326</v>
      </c>
      <c r="B7" s="3" t="s">
        <v>327</v>
      </c>
      <c r="C7" s="3" t="s">
        <v>303</v>
      </c>
      <c r="D7" s="3" t="s">
        <v>328</v>
      </c>
      <c r="E7" s="3" t="s">
        <v>329</v>
      </c>
      <c r="F7" s="3">
        <v>40</v>
      </c>
      <c r="G7" s="3" t="s">
        <v>322</v>
      </c>
      <c r="H7" s="3" t="s">
        <v>330</v>
      </c>
      <c r="I7" s="3" t="s">
        <v>331</v>
      </c>
      <c r="J7" s="3" t="s">
        <v>332</v>
      </c>
      <c r="K7" s="3" t="s">
        <v>333</v>
      </c>
      <c r="L7" s="3" t="s">
        <v>334</v>
      </c>
      <c r="M7" s="3" t="s">
        <v>335</v>
      </c>
    </row>
    <row r="8" spans="1:13">
      <c r="A8" s="4" t="s">
        <v>336</v>
      </c>
      <c r="B8" s="4"/>
      <c r="C8" s="4"/>
      <c r="D8" s="4"/>
      <c r="E8" s="4"/>
      <c r="F8" s="4">
        <f>SUM(F4:F7)</f>
        <v>2196</v>
      </c>
      <c r="G8" s="4"/>
      <c r="H8" s="4"/>
      <c r="I8" s="4"/>
      <c r="J8" s="4"/>
      <c r="K8" s="4"/>
      <c r="L8" s="4"/>
      <c r="M8" s="4"/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565C0"/>
  </sheetPr>
  <dimension ref="A1:M11"/>
  <sheetViews>
    <sheetView zoomScaleNormal="100" workbookViewId="0">
      <pane ySplit="3" topLeftCell="A4" activePane="bottomLeft" state="frozen"/>
      <selection pane="bottomLeft" activeCell="A4" sqref="A4:A11"/>
    </sheetView>
  </sheetViews>
  <sheetFormatPr defaultColWidth="8.7109375" defaultRowHeight="14.45"/>
  <cols>
    <col min="1" max="1" width="38" customWidth="1"/>
    <col min="2" max="3" width="12" customWidth="1"/>
    <col min="4" max="5" width="28" customWidth="1"/>
    <col min="6" max="6" width="16" customWidth="1"/>
    <col min="7" max="7" width="20" customWidth="1"/>
    <col min="8" max="8" width="16" customWidth="1"/>
    <col min="9" max="9" width="14" customWidth="1"/>
    <col min="10" max="10" width="60" customWidth="1"/>
    <col min="11" max="12" width="14" customWidth="1"/>
    <col min="13" max="13" width="35" customWidth="1"/>
  </cols>
  <sheetData>
    <row r="1" spans="1:13" ht="30" customHeight="1">
      <c r="A1" s="5" t="s">
        <v>337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9.5" customHeight="1">
      <c r="A2" s="6" t="s">
        <v>338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3" ht="39.75" customHeight="1">
      <c r="A3" s="1" t="s">
        <v>339</v>
      </c>
      <c r="B3" s="1" t="s">
        <v>292</v>
      </c>
      <c r="C3" s="1" t="s">
        <v>293</v>
      </c>
      <c r="D3" s="1" t="s">
        <v>294</v>
      </c>
      <c r="E3" s="1" t="s">
        <v>295</v>
      </c>
      <c r="F3" s="1" t="s">
        <v>297</v>
      </c>
      <c r="G3" s="1" t="s">
        <v>340</v>
      </c>
      <c r="H3" s="1" t="s">
        <v>296</v>
      </c>
      <c r="I3" s="1" t="s">
        <v>298</v>
      </c>
      <c r="J3" s="1" t="s">
        <v>341</v>
      </c>
      <c r="K3" s="1" t="s">
        <v>342</v>
      </c>
      <c r="L3" s="1" t="s">
        <v>10</v>
      </c>
      <c r="M3" s="1" t="s">
        <v>343</v>
      </c>
    </row>
    <row r="4" spans="1:13">
      <c r="A4" s="2" t="s">
        <v>344</v>
      </c>
      <c r="B4" s="2" t="s">
        <v>302</v>
      </c>
      <c r="C4" s="2" t="s">
        <v>303</v>
      </c>
      <c r="D4" s="2" t="s">
        <v>345</v>
      </c>
      <c r="E4" s="2" t="s">
        <v>346</v>
      </c>
      <c r="F4" s="2" t="s">
        <v>306</v>
      </c>
      <c r="G4" s="2" t="s">
        <v>347</v>
      </c>
      <c r="H4" s="2" t="s">
        <v>348</v>
      </c>
      <c r="I4" s="2" t="s">
        <v>307</v>
      </c>
      <c r="J4" s="2" t="s">
        <v>349</v>
      </c>
      <c r="K4" s="2" t="s">
        <v>350</v>
      </c>
      <c r="L4" s="2" t="s">
        <v>351</v>
      </c>
      <c r="M4" s="2" t="s">
        <v>352</v>
      </c>
    </row>
    <row r="5" spans="1:13" ht="26.45">
      <c r="A5" s="3" t="s">
        <v>353</v>
      </c>
      <c r="B5" s="3" t="s">
        <v>302</v>
      </c>
      <c r="C5" s="3" t="s">
        <v>303</v>
      </c>
      <c r="D5" s="3" t="s">
        <v>354</v>
      </c>
      <c r="E5" s="3" t="s">
        <v>123</v>
      </c>
      <c r="F5" s="3" t="s">
        <v>306</v>
      </c>
      <c r="G5" s="3" t="s">
        <v>347</v>
      </c>
      <c r="H5" s="3" t="s">
        <v>348</v>
      </c>
      <c r="I5" s="3" t="s">
        <v>307</v>
      </c>
      <c r="J5" s="3" t="s">
        <v>355</v>
      </c>
      <c r="K5" s="3" t="s">
        <v>356</v>
      </c>
      <c r="L5" s="3" t="s">
        <v>351</v>
      </c>
      <c r="M5" s="3" t="s">
        <v>352</v>
      </c>
    </row>
    <row r="6" spans="1:13">
      <c r="A6" s="2" t="s">
        <v>357</v>
      </c>
      <c r="B6" s="2" t="s">
        <v>302</v>
      </c>
      <c r="C6" s="2" t="s">
        <v>303</v>
      </c>
      <c r="D6" s="2" t="s">
        <v>358</v>
      </c>
      <c r="E6" s="2" t="s">
        <v>359</v>
      </c>
      <c r="F6" s="2" t="s">
        <v>306</v>
      </c>
      <c r="G6" s="2" t="s">
        <v>347</v>
      </c>
      <c r="H6" s="2" t="s">
        <v>348</v>
      </c>
      <c r="I6" s="2" t="s">
        <v>307</v>
      </c>
      <c r="J6" s="2" t="s">
        <v>360</v>
      </c>
      <c r="K6" s="2" t="s">
        <v>356</v>
      </c>
      <c r="L6" s="2" t="s">
        <v>361</v>
      </c>
      <c r="M6" s="2" t="s">
        <v>362</v>
      </c>
    </row>
    <row r="7" spans="1:13">
      <c r="A7" s="3" t="s">
        <v>363</v>
      </c>
      <c r="B7" s="3" t="s">
        <v>302</v>
      </c>
      <c r="C7" s="3" t="s">
        <v>303</v>
      </c>
      <c r="D7" s="3" t="s">
        <v>364</v>
      </c>
      <c r="E7" s="3" t="s">
        <v>161</v>
      </c>
      <c r="F7" s="3" t="s">
        <v>306</v>
      </c>
      <c r="G7" s="3" t="s">
        <v>347</v>
      </c>
      <c r="H7" s="3" t="s">
        <v>348</v>
      </c>
      <c r="I7" s="3" t="s">
        <v>307</v>
      </c>
      <c r="J7" s="3" t="s">
        <v>365</v>
      </c>
      <c r="K7" s="3" t="s">
        <v>366</v>
      </c>
      <c r="L7" s="3" t="s">
        <v>361</v>
      </c>
      <c r="M7" s="3" t="s">
        <v>352</v>
      </c>
    </row>
    <row r="8" spans="1:13" ht="26.45">
      <c r="A8" s="2" t="s">
        <v>367</v>
      </c>
      <c r="B8" s="2" t="s">
        <v>327</v>
      </c>
      <c r="C8" s="2" t="s">
        <v>303</v>
      </c>
      <c r="D8" s="2" t="s">
        <v>368</v>
      </c>
      <c r="E8" s="2" t="s">
        <v>369</v>
      </c>
      <c r="F8" s="2" t="s">
        <v>370</v>
      </c>
      <c r="G8" s="2" t="s">
        <v>371</v>
      </c>
      <c r="H8" s="2" t="s">
        <v>372</v>
      </c>
      <c r="I8" s="2" t="s">
        <v>373</v>
      </c>
      <c r="J8" s="2" t="s">
        <v>374</v>
      </c>
      <c r="K8" s="2" t="s">
        <v>356</v>
      </c>
      <c r="L8" s="2" t="s">
        <v>375</v>
      </c>
      <c r="M8" s="2" t="s">
        <v>362</v>
      </c>
    </row>
    <row r="9" spans="1:13" ht="39.6">
      <c r="A9" s="3" t="s">
        <v>376</v>
      </c>
      <c r="B9" s="3" t="s">
        <v>377</v>
      </c>
      <c r="C9" s="3" t="s">
        <v>303</v>
      </c>
      <c r="D9" s="3" t="s">
        <v>378</v>
      </c>
      <c r="E9" s="3" t="s">
        <v>369</v>
      </c>
      <c r="F9" s="3" t="s">
        <v>306</v>
      </c>
      <c r="G9" s="3" t="s">
        <v>371</v>
      </c>
      <c r="H9" s="3" t="s">
        <v>348</v>
      </c>
      <c r="I9" s="3" t="s">
        <v>379</v>
      </c>
      <c r="J9" s="3" t="s">
        <v>380</v>
      </c>
      <c r="K9" s="3" t="s">
        <v>366</v>
      </c>
      <c r="L9" s="3" t="s">
        <v>375</v>
      </c>
      <c r="M9" s="3" t="s">
        <v>362</v>
      </c>
    </row>
    <row r="10" spans="1:13">
      <c r="A10" s="2" t="s">
        <v>381</v>
      </c>
      <c r="B10" s="2" t="s">
        <v>302</v>
      </c>
      <c r="C10" s="2" t="s">
        <v>303</v>
      </c>
      <c r="D10" s="2" t="s">
        <v>382</v>
      </c>
      <c r="E10" s="2" t="s">
        <v>383</v>
      </c>
      <c r="F10" s="2" t="s">
        <v>306</v>
      </c>
      <c r="G10" s="2" t="s">
        <v>384</v>
      </c>
      <c r="H10" s="2" t="s">
        <v>385</v>
      </c>
      <c r="I10" s="2" t="s">
        <v>307</v>
      </c>
      <c r="J10" s="2" t="s">
        <v>386</v>
      </c>
      <c r="K10" s="2" t="s">
        <v>387</v>
      </c>
      <c r="L10" s="2" t="s">
        <v>361</v>
      </c>
      <c r="M10" s="2" t="s">
        <v>388</v>
      </c>
    </row>
    <row r="11" spans="1:13">
      <c r="A11" s="3" t="s">
        <v>389</v>
      </c>
      <c r="B11" s="3" t="s">
        <v>390</v>
      </c>
      <c r="C11" s="3" t="s">
        <v>303</v>
      </c>
      <c r="D11" s="3" t="s">
        <v>391</v>
      </c>
      <c r="E11" s="3" t="s">
        <v>392</v>
      </c>
      <c r="F11" s="3" t="s">
        <v>393</v>
      </c>
      <c r="G11" s="3" t="s">
        <v>394</v>
      </c>
      <c r="H11" s="3" t="s">
        <v>393</v>
      </c>
      <c r="I11" s="3" t="s">
        <v>315</v>
      </c>
      <c r="J11" s="3" t="s">
        <v>395</v>
      </c>
      <c r="K11" s="3" t="s">
        <v>396</v>
      </c>
      <c r="L11" s="3" t="s">
        <v>397</v>
      </c>
      <c r="M11" s="3" t="s">
        <v>362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L31"/>
  <sheetViews>
    <sheetView zoomScaleNormal="100" workbookViewId="0">
      <selection activeCell="A5" sqref="A5:A7"/>
    </sheetView>
  </sheetViews>
  <sheetFormatPr defaultColWidth="8.7109375" defaultRowHeight="14.45"/>
  <cols>
    <col min="1" max="2" width="25" customWidth="1"/>
    <col min="3" max="4" width="20" customWidth="1"/>
    <col min="5" max="5" width="50" customWidth="1"/>
  </cols>
  <sheetData>
    <row r="1" spans="1:12" ht="30" customHeight="1">
      <c r="A1" s="5" t="s">
        <v>398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9.5" customHeight="1">
      <c r="A2" s="6" t="s">
        <v>399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4.75" customHeight="1">
      <c r="A3" s="7" t="s">
        <v>400</v>
      </c>
      <c r="B3" s="7"/>
      <c r="C3" s="7"/>
      <c r="D3" s="7"/>
      <c r="E3" s="7"/>
      <c r="F3" s="7"/>
      <c r="G3" s="7"/>
    </row>
    <row r="4" spans="1:12">
      <c r="A4" s="1" t="s">
        <v>297</v>
      </c>
      <c r="B4" s="1" t="s">
        <v>401</v>
      </c>
      <c r="C4" s="1" t="s">
        <v>402</v>
      </c>
      <c r="D4" s="1" t="s">
        <v>403</v>
      </c>
      <c r="E4" s="1" t="s">
        <v>11</v>
      </c>
    </row>
    <row r="5" spans="1:12">
      <c r="A5" s="3" t="s">
        <v>306</v>
      </c>
      <c r="B5" s="3">
        <v>3087</v>
      </c>
      <c r="C5" s="3">
        <v>27.8</v>
      </c>
      <c r="D5" s="3">
        <f>B5+C5</f>
        <v>3114.8</v>
      </c>
      <c r="E5" s="3" t="s">
        <v>404</v>
      </c>
    </row>
    <row r="6" spans="1:12">
      <c r="A6" s="2" t="s">
        <v>405</v>
      </c>
      <c r="B6" s="2">
        <v>5023.79</v>
      </c>
      <c r="C6" s="2">
        <v>27.3</v>
      </c>
      <c r="D6" s="2">
        <f>B6+C6</f>
        <v>5051.09</v>
      </c>
      <c r="E6" s="2"/>
    </row>
    <row r="7" spans="1:12">
      <c r="A7" s="3" t="s">
        <v>314</v>
      </c>
      <c r="B7" s="3">
        <v>9150.07</v>
      </c>
      <c r="C7" s="3">
        <v>368.68</v>
      </c>
      <c r="D7" s="3">
        <f>B7+C7</f>
        <v>9518.75</v>
      </c>
      <c r="E7" s="3"/>
    </row>
    <row r="8" spans="1:12">
      <c r="A8" s="4" t="s">
        <v>250</v>
      </c>
      <c r="B8" s="4">
        <f>B5+B6+B7</f>
        <v>17260.86</v>
      </c>
      <c r="C8" s="4">
        <f>C5+C6+C7</f>
        <v>423.78000000000003</v>
      </c>
      <c r="D8" s="4">
        <v>17685.27</v>
      </c>
      <c r="E8" s="4"/>
    </row>
    <row r="11" spans="1:12" ht="24.75" customHeight="1">
      <c r="A11" s="7" t="s">
        <v>406</v>
      </c>
      <c r="B11" s="7"/>
      <c r="C11" s="7"/>
      <c r="D11" s="7"/>
      <c r="E11" s="7"/>
      <c r="F11" s="7"/>
      <c r="G11" s="7"/>
    </row>
    <row r="12" spans="1:12">
      <c r="A12" s="1" t="s">
        <v>407</v>
      </c>
      <c r="B12" s="1" t="s">
        <v>408</v>
      </c>
      <c r="C12" s="1" t="s">
        <v>409</v>
      </c>
      <c r="D12" s="1" t="s">
        <v>410</v>
      </c>
      <c r="E12" s="1" t="s">
        <v>11</v>
      </c>
    </row>
    <row r="13" spans="1:12">
      <c r="A13" s="3" t="s">
        <v>411</v>
      </c>
      <c r="B13" s="3">
        <v>1</v>
      </c>
      <c r="C13" s="3">
        <v>0</v>
      </c>
      <c r="D13" s="3" t="s">
        <v>412</v>
      </c>
      <c r="E13" s="3" t="s">
        <v>413</v>
      </c>
    </row>
    <row r="14" spans="1:12" ht="26.45">
      <c r="A14" s="2" t="s">
        <v>414</v>
      </c>
      <c r="B14" s="2">
        <v>10</v>
      </c>
      <c r="C14" s="2">
        <v>3</v>
      </c>
      <c r="D14" s="2" t="s">
        <v>415</v>
      </c>
      <c r="E14" s="2"/>
    </row>
    <row r="15" spans="1:12">
      <c r="A15" s="3" t="s">
        <v>416</v>
      </c>
      <c r="B15" s="3">
        <v>4</v>
      </c>
      <c r="C15" s="3">
        <v>0</v>
      </c>
      <c r="D15" s="3" t="s">
        <v>417</v>
      </c>
      <c r="E15" s="3"/>
    </row>
    <row r="16" spans="1:12" ht="26.45">
      <c r="A16" s="2" t="s">
        <v>418</v>
      </c>
      <c r="B16" s="2">
        <v>34</v>
      </c>
      <c r="C16" s="2">
        <v>2</v>
      </c>
      <c r="D16" s="2" t="s">
        <v>419</v>
      </c>
      <c r="E16" s="2"/>
    </row>
    <row r="17" spans="1:7" ht="26.45">
      <c r="A17" s="3" t="s">
        <v>420</v>
      </c>
      <c r="B17" s="3">
        <v>2</v>
      </c>
      <c r="C17" s="3">
        <v>4</v>
      </c>
      <c r="D17" s="3" t="s">
        <v>421</v>
      </c>
      <c r="E17" s="3"/>
    </row>
    <row r="18" spans="1:7" ht="26.45">
      <c r="A18" s="2" t="s">
        <v>422</v>
      </c>
      <c r="B18" s="2">
        <v>146</v>
      </c>
      <c r="C18" s="2">
        <v>46</v>
      </c>
      <c r="D18" s="2" t="s">
        <v>423</v>
      </c>
      <c r="E18" s="2"/>
    </row>
    <row r="19" spans="1:7">
      <c r="A19" s="4" t="s">
        <v>250</v>
      </c>
      <c r="B19" s="4">
        <v>252</v>
      </c>
      <c r="C19" s="4" t="s">
        <v>424</v>
      </c>
      <c r="D19" s="4">
        <v>85732.9</v>
      </c>
      <c r="E19" s="4" t="s">
        <v>425</v>
      </c>
    </row>
    <row r="22" spans="1:7" ht="15.6">
      <c r="A22" s="7" t="s">
        <v>426</v>
      </c>
      <c r="B22" s="7"/>
      <c r="C22" s="7"/>
      <c r="D22" s="7"/>
      <c r="E22" s="7"/>
      <c r="F22" s="7"/>
      <c r="G22" s="7"/>
    </row>
    <row r="23" spans="1:7">
      <c r="A23" s="1" t="s">
        <v>427</v>
      </c>
      <c r="B23" s="1" t="s">
        <v>428</v>
      </c>
      <c r="C23" s="1" t="s">
        <v>261</v>
      </c>
      <c r="D23" s="1" t="s">
        <v>11</v>
      </c>
    </row>
    <row r="24" spans="1:7">
      <c r="A24" s="2" t="s">
        <v>429</v>
      </c>
      <c r="B24" s="2" t="s">
        <v>430</v>
      </c>
      <c r="C24" s="2" t="s">
        <v>431</v>
      </c>
      <c r="D24" s="2" t="s">
        <v>432</v>
      </c>
    </row>
    <row r="25" spans="1:7">
      <c r="A25" s="3" t="s">
        <v>433</v>
      </c>
      <c r="B25" s="3" t="s">
        <v>434</v>
      </c>
      <c r="C25" s="3" t="s">
        <v>431</v>
      </c>
      <c r="D25" s="3" t="s">
        <v>435</v>
      </c>
    </row>
    <row r="26" spans="1:7">
      <c r="A26" s="2" t="s">
        <v>436</v>
      </c>
      <c r="B26" s="2" t="s">
        <v>437</v>
      </c>
      <c r="C26" s="2" t="s">
        <v>431</v>
      </c>
      <c r="D26" s="2" t="s">
        <v>438</v>
      </c>
    </row>
    <row r="27" spans="1:7">
      <c r="A27" s="3" t="s">
        <v>439</v>
      </c>
      <c r="B27" s="3" t="s">
        <v>440</v>
      </c>
      <c r="C27" s="3" t="s">
        <v>431</v>
      </c>
      <c r="D27" s="3" t="s">
        <v>441</v>
      </c>
    </row>
    <row r="28" spans="1:7">
      <c r="A28" s="2" t="s">
        <v>442</v>
      </c>
      <c r="B28" s="2" t="s">
        <v>443</v>
      </c>
      <c r="C28" s="2" t="s">
        <v>431</v>
      </c>
      <c r="D28" s="2" t="s">
        <v>444</v>
      </c>
    </row>
    <row r="29" spans="1:7">
      <c r="A29" s="3" t="s">
        <v>445</v>
      </c>
      <c r="B29" s="3">
        <v>2090.5700000000002</v>
      </c>
      <c r="C29" s="3" t="s">
        <v>446</v>
      </c>
      <c r="D29" s="3"/>
    </row>
    <row r="30" spans="1:7">
      <c r="A30" s="2" t="s">
        <v>447</v>
      </c>
      <c r="B30" s="2">
        <v>1354.13</v>
      </c>
      <c r="C30" s="2" t="s">
        <v>446</v>
      </c>
      <c r="D30" s="2"/>
    </row>
    <row r="31" spans="1:7">
      <c r="A31" s="3" t="s">
        <v>448</v>
      </c>
      <c r="B31" s="3">
        <v>1342.09</v>
      </c>
      <c r="C31" s="3" t="s">
        <v>446</v>
      </c>
      <c r="D31" s="3"/>
    </row>
  </sheetData>
  <mergeCells count="5">
    <mergeCell ref="A1:L1"/>
    <mergeCell ref="A2:L2"/>
    <mergeCell ref="A3:G3"/>
    <mergeCell ref="A11:G11"/>
    <mergeCell ref="A22:G2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1B9A"/>
  </sheetPr>
  <dimension ref="A1:L13"/>
  <sheetViews>
    <sheetView tabSelected="1" zoomScaleNormal="100" workbookViewId="0">
      <pane ySplit="3" topLeftCell="A4" activePane="bottomLeft" state="frozen"/>
      <selection pane="bottomLeft" activeCell="A4" sqref="A4:A13"/>
    </sheetView>
  </sheetViews>
  <sheetFormatPr defaultColWidth="8.7109375" defaultRowHeight="14.45"/>
  <cols>
    <col min="1" max="1" width="50" customWidth="1"/>
    <col min="2" max="2" width="30" customWidth="1"/>
    <col min="3" max="3" width="25" customWidth="1"/>
    <col min="4" max="4" width="14" customWidth="1"/>
    <col min="5" max="5" width="25" customWidth="1"/>
    <col min="6" max="6" width="20" customWidth="1"/>
    <col min="7" max="7" width="70" customWidth="1"/>
    <col min="8" max="8" width="14" customWidth="1"/>
    <col min="9" max="9" width="18" customWidth="1"/>
    <col min="10" max="10" width="30" customWidth="1"/>
  </cols>
  <sheetData>
    <row r="1" spans="1:12" ht="30" customHeight="1">
      <c r="A1" s="5" t="s">
        <v>449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9.5" customHeight="1">
      <c r="A2" s="6" t="s">
        <v>338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34.5" customHeight="1">
      <c r="A3" s="1" t="s">
        <v>339</v>
      </c>
      <c r="B3" s="1" t="s">
        <v>450</v>
      </c>
      <c r="C3" s="1" t="s">
        <v>451</v>
      </c>
      <c r="D3" s="1" t="s">
        <v>297</v>
      </c>
      <c r="E3" s="1" t="s">
        <v>340</v>
      </c>
      <c r="F3" s="1" t="s">
        <v>452</v>
      </c>
      <c r="G3" s="1" t="s">
        <v>453</v>
      </c>
      <c r="H3" s="1" t="s">
        <v>342</v>
      </c>
      <c r="I3" s="1" t="s">
        <v>10</v>
      </c>
      <c r="J3" s="1" t="s">
        <v>343</v>
      </c>
    </row>
    <row r="4" spans="1:12" ht="26.45">
      <c r="A4" s="2" t="s">
        <v>454</v>
      </c>
      <c r="B4" s="2" t="s">
        <v>455</v>
      </c>
      <c r="C4" s="2" t="s">
        <v>13</v>
      </c>
      <c r="D4" s="2" t="s">
        <v>306</v>
      </c>
      <c r="E4" s="2" t="s">
        <v>456</v>
      </c>
      <c r="F4" s="2" t="s">
        <v>457</v>
      </c>
      <c r="G4" s="2" t="s">
        <v>458</v>
      </c>
      <c r="H4" s="2" t="s">
        <v>459</v>
      </c>
      <c r="I4" s="2" t="s">
        <v>460</v>
      </c>
      <c r="J4" s="2" t="s">
        <v>461</v>
      </c>
    </row>
    <row r="5" spans="1:12" ht="26.45">
      <c r="A5" s="3" t="s">
        <v>462</v>
      </c>
      <c r="B5" s="3" t="s">
        <v>463</v>
      </c>
      <c r="C5" s="3" t="s">
        <v>13</v>
      </c>
      <c r="D5" s="3" t="s">
        <v>464</v>
      </c>
      <c r="E5" s="3" t="s">
        <v>465</v>
      </c>
      <c r="F5" s="3" t="s">
        <v>466</v>
      </c>
      <c r="G5" s="3" t="s">
        <v>467</v>
      </c>
      <c r="H5" s="3" t="s">
        <v>468</v>
      </c>
      <c r="I5" s="3" t="s">
        <v>469</v>
      </c>
      <c r="J5" s="3" t="s">
        <v>461</v>
      </c>
    </row>
    <row r="6" spans="1:12" ht="26.45">
      <c r="A6" s="2" t="s">
        <v>470</v>
      </c>
      <c r="B6" s="2" t="s">
        <v>471</v>
      </c>
      <c r="C6" s="2" t="s">
        <v>472</v>
      </c>
      <c r="D6" s="2" t="s">
        <v>306</v>
      </c>
      <c r="E6" s="2" t="s">
        <v>473</v>
      </c>
      <c r="F6" s="2" t="s">
        <v>474</v>
      </c>
      <c r="G6" s="2" t="s">
        <v>475</v>
      </c>
      <c r="H6" s="2" t="s">
        <v>356</v>
      </c>
      <c r="I6" s="2" t="s">
        <v>469</v>
      </c>
      <c r="J6" s="2" t="s">
        <v>461</v>
      </c>
    </row>
    <row r="7" spans="1:12" ht="26.45">
      <c r="A7" s="3" t="s">
        <v>476</v>
      </c>
      <c r="B7" s="3" t="s">
        <v>477</v>
      </c>
      <c r="C7" s="3" t="s">
        <v>478</v>
      </c>
      <c r="D7" s="3" t="s">
        <v>306</v>
      </c>
      <c r="E7" s="3" t="s">
        <v>479</v>
      </c>
      <c r="F7" s="3" t="s">
        <v>480</v>
      </c>
      <c r="G7" s="3" t="s">
        <v>481</v>
      </c>
      <c r="H7" s="3" t="s">
        <v>482</v>
      </c>
      <c r="I7" s="3" t="s">
        <v>460</v>
      </c>
      <c r="J7" s="3" t="s">
        <v>362</v>
      </c>
    </row>
    <row r="8" spans="1:12">
      <c r="A8" s="2" t="s">
        <v>483</v>
      </c>
      <c r="B8" s="2" t="s">
        <v>484</v>
      </c>
      <c r="C8" s="2" t="s">
        <v>485</v>
      </c>
      <c r="D8" s="2" t="s">
        <v>306</v>
      </c>
      <c r="E8" s="2" t="s">
        <v>486</v>
      </c>
      <c r="F8" s="2" t="s">
        <v>487</v>
      </c>
      <c r="G8" s="2" t="s">
        <v>488</v>
      </c>
      <c r="H8" s="2" t="s">
        <v>489</v>
      </c>
      <c r="I8" s="2" t="s">
        <v>490</v>
      </c>
      <c r="J8" s="2" t="s">
        <v>388</v>
      </c>
    </row>
    <row r="9" spans="1:12" ht="26.45">
      <c r="A9" s="3" t="s">
        <v>491</v>
      </c>
      <c r="B9" s="3" t="s">
        <v>492</v>
      </c>
      <c r="C9" s="3" t="s">
        <v>346</v>
      </c>
      <c r="D9" s="3" t="s">
        <v>493</v>
      </c>
      <c r="E9" s="3" t="s">
        <v>494</v>
      </c>
      <c r="F9" s="3" t="s">
        <v>495</v>
      </c>
      <c r="G9" s="3" t="s">
        <v>496</v>
      </c>
      <c r="H9" s="3" t="s">
        <v>497</v>
      </c>
      <c r="I9" s="3" t="s">
        <v>351</v>
      </c>
      <c r="J9" s="3" t="s">
        <v>498</v>
      </c>
    </row>
    <row r="10" spans="1:12">
      <c r="A10" s="2" t="s">
        <v>499</v>
      </c>
      <c r="B10" s="2" t="s">
        <v>500</v>
      </c>
      <c r="C10" s="2" t="s">
        <v>501</v>
      </c>
      <c r="D10" s="2" t="s">
        <v>306</v>
      </c>
      <c r="E10" s="2" t="s">
        <v>502</v>
      </c>
      <c r="F10" s="2" t="s">
        <v>457</v>
      </c>
      <c r="G10" s="2" t="s">
        <v>503</v>
      </c>
      <c r="H10" s="2" t="s">
        <v>504</v>
      </c>
      <c r="I10" s="2" t="s">
        <v>505</v>
      </c>
      <c r="J10" s="2" t="s">
        <v>362</v>
      </c>
    </row>
    <row r="11" spans="1:12" ht="26.45">
      <c r="A11" s="3" t="s">
        <v>506</v>
      </c>
      <c r="B11" s="3" t="s">
        <v>507</v>
      </c>
      <c r="C11" s="3" t="s">
        <v>478</v>
      </c>
      <c r="D11" s="3" t="s">
        <v>422</v>
      </c>
      <c r="E11" s="3" t="s">
        <v>508</v>
      </c>
      <c r="F11" s="3" t="s">
        <v>509</v>
      </c>
      <c r="G11" s="3" t="s">
        <v>510</v>
      </c>
      <c r="H11" s="3" t="s">
        <v>511</v>
      </c>
      <c r="I11" s="3" t="s">
        <v>490</v>
      </c>
      <c r="J11" s="3" t="s">
        <v>512</v>
      </c>
    </row>
    <row r="12" spans="1:12" ht="26.45">
      <c r="A12" s="2" t="s">
        <v>513</v>
      </c>
      <c r="B12" s="2" t="s">
        <v>514</v>
      </c>
      <c r="C12" s="2" t="s">
        <v>515</v>
      </c>
      <c r="D12" s="2" t="s">
        <v>405</v>
      </c>
      <c r="E12" s="2" t="s">
        <v>516</v>
      </c>
      <c r="F12" s="2" t="s">
        <v>517</v>
      </c>
      <c r="G12" s="2" t="s">
        <v>518</v>
      </c>
      <c r="H12" s="2" t="s">
        <v>519</v>
      </c>
      <c r="I12" s="2" t="s">
        <v>460</v>
      </c>
      <c r="J12" s="2" t="s">
        <v>520</v>
      </c>
    </row>
    <row r="13" spans="1:12">
      <c r="A13" s="3" t="s">
        <v>521</v>
      </c>
      <c r="B13" s="3" t="s">
        <v>522</v>
      </c>
      <c r="C13" s="3" t="s">
        <v>523</v>
      </c>
      <c r="D13" s="3" t="s">
        <v>405</v>
      </c>
      <c r="E13" s="3" t="s">
        <v>524</v>
      </c>
      <c r="F13" s="3" t="s">
        <v>525</v>
      </c>
      <c r="G13" s="3" t="s">
        <v>526</v>
      </c>
      <c r="H13" s="3" t="s">
        <v>519</v>
      </c>
      <c r="I13" s="3" t="s">
        <v>460</v>
      </c>
      <c r="J13" s="3" t="s">
        <v>520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5100"/>
  </sheetPr>
  <dimension ref="A1:L18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4.45"/>
  <cols>
    <col min="1" max="1" width="45" customWidth="1"/>
    <col min="2" max="2" width="25" customWidth="1"/>
    <col min="3" max="3" width="12" customWidth="1"/>
    <col min="4" max="4" width="16" customWidth="1"/>
    <col min="5" max="6" width="25" customWidth="1"/>
    <col min="7" max="7" width="20" customWidth="1"/>
    <col min="8" max="8" width="18" customWidth="1"/>
    <col min="9" max="9" width="65" customWidth="1"/>
  </cols>
  <sheetData>
    <row r="1" spans="1:12" ht="30" customHeight="1">
      <c r="A1" s="5" t="s">
        <v>527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9.5" customHeight="1">
      <c r="A2" s="6" t="s">
        <v>528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34.5" customHeight="1">
      <c r="A3" s="1" t="s">
        <v>529</v>
      </c>
      <c r="B3" s="1" t="s">
        <v>530</v>
      </c>
      <c r="C3" s="1" t="s">
        <v>4</v>
      </c>
      <c r="D3" s="1" t="s">
        <v>296</v>
      </c>
      <c r="E3" s="1" t="s">
        <v>9</v>
      </c>
      <c r="F3" s="1" t="s">
        <v>531</v>
      </c>
      <c r="G3" s="1" t="s">
        <v>10</v>
      </c>
      <c r="H3" s="1" t="s">
        <v>342</v>
      </c>
      <c r="I3" s="1" t="s">
        <v>532</v>
      </c>
    </row>
    <row r="4" spans="1:12" ht="26.45">
      <c r="A4" s="2" t="s">
        <v>533</v>
      </c>
      <c r="B4" s="2" t="s">
        <v>534</v>
      </c>
      <c r="C4" s="2" t="s">
        <v>535</v>
      </c>
      <c r="D4" s="2">
        <v>1200</v>
      </c>
      <c r="E4" s="2" t="s">
        <v>536</v>
      </c>
      <c r="F4" s="2" t="s">
        <v>537</v>
      </c>
      <c r="G4" s="2" t="s">
        <v>538</v>
      </c>
      <c r="H4" s="2" t="s">
        <v>539</v>
      </c>
      <c r="I4" s="2" t="s">
        <v>540</v>
      </c>
    </row>
    <row r="5" spans="1:12">
      <c r="A5" s="3" t="s">
        <v>541</v>
      </c>
      <c r="B5" s="3" t="s">
        <v>534</v>
      </c>
      <c r="C5" s="3" t="s">
        <v>535</v>
      </c>
      <c r="D5" s="3">
        <v>1200</v>
      </c>
      <c r="E5" s="3" t="s">
        <v>542</v>
      </c>
      <c r="F5" s="3" t="s">
        <v>537</v>
      </c>
      <c r="G5" s="3" t="s">
        <v>460</v>
      </c>
      <c r="H5" s="3" t="s">
        <v>543</v>
      </c>
      <c r="I5" s="3" t="s">
        <v>544</v>
      </c>
    </row>
    <row r="6" spans="1:12">
      <c r="A6" s="2" t="s">
        <v>545</v>
      </c>
      <c r="B6" s="2" t="s">
        <v>546</v>
      </c>
      <c r="C6" s="2" t="s">
        <v>114</v>
      </c>
      <c r="D6" s="2">
        <v>1320</v>
      </c>
      <c r="E6" s="2" t="s">
        <v>547</v>
      </c>
      <c r="F6" s="2" t="s">
        <v>52</v>
      </c>
      <c r="G6" s="2" t="s">
        <v>548</v>
      </c>
      <c r="H6" s="2" t="s">
        <v>459</v>
      </c>
      <c r="I6" s="2" t="s">
        <v>549</v>
      </c>
    </row>
    <row r="7" spans="1:12">
      <c r="A7" s="3" t="s">
        <v>550</v>
      </c>
      <c r="B7" s="3" t="s">
        <v>329</v>
      </c>
      <c r="C7" s="3" t="s">
        <v>197</v>
      </c>
      <c r="D7" s="3">
        <v>800</v>
      </c>
      <c r="E7" s="3" t="s">
        <v>21</v>
      </c>
      <c r="F7" s="3" t="s">
        <v>182</v>
      </c>
      <c r="G7" s="3" t="s">
        <v>548</v>
      </c>
      <c r="H7" s="3" t="s">
        <v>459</v>
      </c>
      <c r="I7" s="3" t="s">
        <v>549</v>
      </c>
    </row>
    <row r="8" spans="1:12" ht="26.45">
      <c r="A8" s="2" t="s">
        <v>148</v>
      </c>
      <c r="B8" s="2" t="s">
        <v>551</v>
      </c>
      <c r="C8" s="2" t="s">
        <v>69</v>
      </c>
      <c r="D8" s="2">
        <v>75</v>
      </c>
      <c r="E8" s="2" t="s">
        <v>71</v>
      </c>
      <c r="F8" s="2" t="s">
        <v>38</v>
      </c>
      <c r="G8" s="2" t="s">
        <v>552</v>
      </c>
      <c r="H8" s="2" t="s">
        <v>333</v>
      </c>
      <c r="I8" s="2" t="s">
        <v>549</v>
      </c>
    </row>
    <row r="9" spans="1:12">
      <c r="A9" s="3" t="s">
        <v>553</v>
      </c>
      <c r="B9" s="3" t="s">
        <v>554</v>
      </c>
      <c r="C9" s="3" t="s">
        <v>69</v>
      </c>
      <c r="D9" s="3">
        <v>10</v>
      </c>
      <c r="E9" s="3" t="s">
        <v>71</v>
      </c>
      <c r="F9" s="3" t="s">
        <v>27</v>
      </c>
      <c r="G9" s="3" t="s">
        <v>505</v>
      </c>
      <c r="H9" s="3" t="s">
        <v>459</v>
      </c>
      <c r="I9" s="3" t="s">
        <v>555</v>
      </c>
    </row>
    <row r="10" spans="1:12" ht="26.45">
      <c r="A10" s="2" t="s">
        <v>556</v>
      </c>
      <c r="B10" s="2" t="s">
        <v>557</v>
      </c>
      <c r="C10" s="2" t="s">
        <v>558</v>
      </c>
      <c r="D10" s="2">
        <v>5000</v>
      </c>
      <c r="E10" s="2" t="s">
        <v>21</v>
      </c>
      <c r="F10" s="2" t="s">
        <v>559</v>
      </c>
      <c r="G10" s="2" t="s">
        <v>560</v>
      </c>
      <c r="H10" s="2" t="s">
        <v>561</v>
      </c>
      <c r="I10" s="2" t="s">
        <v>562</v>
      </c>
    </row>
    <row r="11" spans="1:12" ht="26.45">
      <c r="A11" s="3" t="s">
        <v>563</v>
      </c>
      <c r="B11" s="3" t="s">
        <v>557</v>
      </c>
      <c r="C11" s="3" t="s">
        <v>69</v>
      </c>
      <c r="D11" s="3">
        <v>3000</v>
      </c>
      <c r="E11" s="3" t="s">
        <v>564</v>
      </c>
      <c r="F11" s="3" t="s">
        <v>565</v>
      </c>
      <c r="G11" s="3" t="s">
        <v>566</v>
      </c>
      <c r="H11" s="3" t="s">
        <v>489</v>
      </c>
      <c r="I11" s="3" t="s">
        <v>567</v>
      </c>
    </row>
    <row r="12" spans="1:12" ht="26.45">
      <c r="A12" s="2" t="s">
        <v>568</v>
      </c>
      <c r="B12" s="2" t="s">
        <v>569</v>
      </c>
      <c r="C12" s="2" t="s">
        <v>121</v>
      </c>
      <c r="D12" s="2">
        <v>200</v>
      </c>
      <c r="E12" s="2" t="s">
        <v>570</v>
      </c>
      <c r="F12" s="2" t="s">
        <v>393</v>
      </c>
      <c r="G12" s="2" t="s">
        <v>571</v>
      </c>
      <c r="H12" s="2" t="s">
        <v>366</v>
      </c>
      <c r="I12" s="2" t="s">
        <v>572</v>
      </c>
    </row>
    <row r="13" spans="1:12">
      <c r="A13" s="3" t="s">
        <v>573</v>
      </c>
      <c r="B13" s="3" t="s">
        <v>574</v>
      </c>
      <c r="C13" s="3" t="s">
        <v>575</v>
      </c>
      <c r="D13" s="3" t="s">
        <v>576</v>
      </c>
      <c r="E13" s="3" t="s">
        <v>577</v>
      </c>
      <c r="F13" s="3" t="s">
        <v>578</v>
      </c>
      <c r="G13" s="3" t="s">
        <v>469</v>
      </c>
      <c r="H13" s="3" t="s">
        <v>366</v>
      </c>
      <c r="I13" s="3" t="s">
        <v>579</v>
      </c>
    </row>
    <row r="14" spans="1:12">
      <c r="A14" s="2" t="s">
        <v>580</v>
      </c>
      <c r="B14" s="2" t="s">
        <v>581</v>
      </c>
      <c r="C14" s="2" t="s">
        <v>582</v>
      </c>
      <c r="D14" s="2" t="s">
        <v>576</v>
      </c>
      <c r="E14" s="2" t="s">
        <v>583</v>
      </c>
      <c r="F14" s="2" t="s">
        <v>578</v>
      </c>
      <c r="G14" s="2" t="s">
        <v>469</v>
      </c>
      <c r="H14" s="2" t="s">
        <v>584</v>
      </c>
      <c r="I14" s="2" t="s">
        <v>585</v>
      </c>
    </row>
    <row r="15" spans="1:12">
      <c r="A15" s="3" t="s">
        <v>586</v>
      </c>
      <c r="B15" s="3" t="s">
        <v>587</v>
      </c>
      <c r="C15" s="3" t="s">
        <v>588</v>
      </c>
      <c r="D15" s="3" t="s">
        <v>589</v>
      </c>
      <c r="E15" s="3" t="s">
        <v>590</v>
      </c>
      <c r="F15" s="3" t="s">
        <v>393</v>
      </c>
      <c r="G15" s="3" t="s">
        <v>397</v>
      </c>
      <c r="H15" s="3" t="s">
        <v>591</v>
      </c>
      <c r="I15" s="3" t="s">
        <v>592</v>
      </c>
    </row>
    <row r="16" spans="1:12">
      <c r="A16" s="2" t="s">
        <v>593</v>
      </c>
      <c r="B16" s="2" t="s">
        <v>393</v>
      </c>
      <c r="C16" s="2" t="s">
        <v>594</v>
      </c>
      <c r="D16" s="2" t="s">
        <v>393</v>
      </c>
      <c r="E16" s="2" t="s">
        <v>595</v>
      </c>
      <c r="F16" s="2" t="s">
        <v>393</v>
      </c>
      <c r="G16" s="2" t="s">
        <v>397</v>
      </c>
      <c r="H16" s="2" t="s">
        <v>591</v>
      </c>
      <c r="I16" s="2" t="s">
        <v>596</v>
      </c>
    </row>
    <row r="17" spans="1:9" ht="26.45">
      <c r="A17" s="3" t="s">
        <v>597</v>
      </c>
      <c r="B17" s="3" t="s">
        <v>598</v>
      </c>
      <c r="C17" s="3" t="s">
        <v>599</v>
      </c>
      <c r="D17" s="3">
        <v>13900</v>
      </c>
      <c r="E17" s="3" t="s">
        <v>599</v>
      </c>
      <c r="F17" s="3" t="s">
        <v>557</v>
      </c>
      <c r="G17" s="3" t="s">
        <v>600</v>
      </c>
      <c r="H17" s="3" t="s">
        <v>601</v>
      </c>
      <c r="I17" s="3" t="s">
        <v>602</v>
      </c>
    </row>
    <row r="18" spans="1:9">
      <c r="A18" s="2" t="s">
        <v>603</v>
      </c>
      <c r="B18" s="2" t="s">
        <v>598</v>
      </c>
      <c r="C18" s="2" t="s">
        <v>599</v>
      </c>
      <c r="D18" s="2">
        <v>27700</v>
      </c>
      <c r="E18" s="2" t="s">
        <v>599</v>
      </c>
      <c r="F18" s="2" t="s">
        <v>557</v>
      </c>
      <c r="G18" s="2" t="s">
        <v>600</v>
      </c>
      <c r="H18" s="2" t="s">
        <v>604</v>
      </c>
      <c r="I18" s="2" t="s">
        <v>605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d6ee9-6b90-4973-875c-30ee5d95ff57">
      <Terms xmlns="http://schemas.microsoft.com/office/infopath/2007/PartnerControls"/>
    </lcf76f155ced4ddcb4097134ff3c332f>
    <TaxCatchAll xmlns="a2e62541-ed63-42e0-be49-5b4b52f4e38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10" ma:contentTypeDescription="Crear nuevo documento." ma:contentTypeScope="" ma:versionID="2546235542583e8b2ff2cc2f7947903c">
  <xsd:schema xmlns:xsd="http://www.w3.org/2001/XMLSchema" xmlns:xs="http://www.w3.org/2001/XMLSchema" xmlns:p="http://schemas.microsoft.com/office/2006/metadata/properties" xmlns:ns2="ee5d6ee9-6b90-4973-875c-30ee5d95ff57" xmlns:ns3="a2e62541-ed63-42e0-be49-5b4b52f4e389" targetNamespace="http://schemas.microsoft.com/office/2006/metadata/properties" ma:root="true" ma:fieldsID="9a1af3dc47ff3566ad41f62fd65c9ee6" ns2:_="" ns3:_="">
    <xsd:import namespace="ee5d6ee9-6b90-4973-875c-30ee5d95ff57"/>
    <xsd:import namespace="a2e62541-ed63-42e0-be49-5b4b52f4e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62541-ed63-42e0-be49-5b4b52f4e3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baf6c7-7496-4516-911a-634272e88661}" ma:internalName="TaxCatchAll" ma:showField="CatchAllData" ma:web="a2e62541-ed63-42e0-be49-5b4b52f4e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C79C61-1327-439D-BDCC-8631279F323A}"/>
</file>

<file path=customXml/itemProps2.xml><?xml version="1.0" encoding="utf-8"?>
<ds:datastoreItem xmlns:ds="http://schemas.openxmlformats.org/officeDocument/2006/customXml" ds:itemID="{097A5B52-453C-403E-AF40-F8B86C071DA2}"/>
</file>

<file path=customXml/itemProps3.xml><?xml version="1.0" encoding="utf-8"?>
<ds:datastoreItem xmlns:ds="http://schemas.openxmlformats.org/officeDocument/2006/customXml" ds:itemID="{41B6E8D7-848B-44BF-B465-0AE2208D65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0</cp:revision>
  <dcterms:created xsi:type="dcterms:W3CDTF">2026-02-20T01:15:29Z</dcterms:created>
  <dcterms:modified xsi:type="dcterms:W3CDTF">2026-02-27T17:32:44Z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  <property fmtid="{D5CDD505-2E9C-101B-9397-08002B2CF9AE}" pid="3" name="MediaServiceImageTags">
    <vt:lpwstr/>
  </property>
</Properties>
</file>