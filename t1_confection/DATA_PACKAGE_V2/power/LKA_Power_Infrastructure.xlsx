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lgcr-my.sharepoint.com/personal/nvictor_clg-cr_com/Documents/TX_ASIA/0country infraestructure/"/>
    </mc:Choice>
  </mc:AlternateContent>
  <xr:revisionPtr revIDLastSave="20" documentId="11_9342115540AE280EC13AAD65EDDD835326619E0E" xr6:coauthVersionLast="47" xr6:coauthVersionMax="47" xr10:uidLastSave="{74B78A36-EC91-41AA-9573-91A2D7871297}"/>
  <bookViews>
    <workbookView xWindow="-23148" yWindow="-1572" windowWidth="23256" windowHeight="12456" tabRatio="500" firstSheet="5" activeTab="7" xr2:uid="{00000000-000D-0000-FFFF-FFFF00000000}"/>
  </bookViews>
  <sheets>
    <sheet name="Existing Generation" sheetId="1" r:id="rId1"/>
    <sheet name="Generation Summary" sheetId="2" r:id="rId2"/>
    <sheet name="Existing Interconnections" sheetId="3" r:id="rId3"/>
    <sheet name="Planned Interconnections" sheetId="4" r:id="rId4"/>
    <sheet name="Existing Transmission" sheetId="5" r:id="rId5"/>
    <sheet name="Planned Transmission" sheetId="6" r:id="rId6"/>
    <sheet name="Planned Generation" sheetId="7" r:id="rId7"/>
    <sheet name="Additional Data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2" l="1"/>
  <c r="D15" i="2"/>
  <c r="C15" i="2"/>
  <c r="B15" i="2"/>
  <c r="G43" i="1"/>
  <c r="F43" i="1"/>
</calcChain>
</file>

<file path=xl/sharedStrings.xml><?xml version="1.0" encoding="utf-8"?>
<sst xmlns="http://schemas.openxmlformats.org/spreadsheetml/2006/main" count="2460" uniqueCount="1110">
  <si>
    <t>SRI LANKA — Existing Power Generation (as of December 2023)</t>
  </si>
  <si>
    <t>Source: CEB Annual Report 2023; LTGEP 2025–2044 (CEB, 2024); RE Project Development Plan / GREAT 2025–2030 (CEB/SLSEA, December 2024)</t>
  </si>
  <si>
    <t>Plant Name</t>
  </si>
  <si>
    <t>Zone/Location</t>
  </si>
  <si>
    <t>Fuel Type</t>
  </si>
  <si>
    <t>Owner Type</t>
  </si>
  <si>
    <t>Owner</t>
  </si>
  <si>
    <t>Installed Capacity (MW)</t>
  </si>
  <si>
    <t>Derated Capacity (MW)</t>
  </si>
  <si>
    <t>Technology</t>
  </si>
  <si>
    <t>Status</t>
  </si>
  <si>
    <t>Notes</t>
  </si>
  <si>
    <t>Victoria</t>
  </si>
  <si>
    <t>Central (Mahaweli)</t>
  </si>
  <si>
    <t>Major Hydro</t>
  </si>
  <si>
    <t>CEB</t>
  </si>
  <si>
    <t>Run-of-river / Reservoir</t>
  </si>
  <si>
    <t>Operational</t>
  </si>
  <si>
    <t>Mahaweli Complex</t>
  </si>
  <si>
    <t>Kotmale</t>
  </si>
  <si>
    <t>Upper Kotmale</t>
  </si>
  <si>
    <t>Randenigala</t>
  </si>
  <si>
    <t>Reservoir</t>
  </si>
  <si>
    <t>Rantembe</t>
  </si>
  <si>
    <t>Run-of-river</t>
  </si>
  <si>
    <t>Ukuwela</t>
  </si>
  <si>
    <t>Bowatenna</t>
  </si>
  <si>
    <t>Diversion</t>
  </si>
  <si>
    <t>Nillambe</t>
  </si>
  <si>
    <t>Uma Oya</t>
  </si>
  <si>
    <t>Uva / Samanala</t>
  </si>
  <si>
    <t>Diversion / Tunnel</t>
  </si>
  <si>
    <t>Samanala Complex; commissioned ~2021</t>
  </si>
  <si>
    <t>Samanalawewa</t>
  </si>
  <si>
    <t>Sabaragamuwa / Samanala</t>
  </si>
  <si>
    <t>Samanala Complex</t>
  </si>
  <si>
    <t>Kukuleganga</t>
  </si>
  <si>
    <t>Inginiyagala</t>
  </si>
  <si>
    <t>Udawalawa</t>
  </si>
  <si>
    <t>Laxapana</t>
  </si>
  <si>
    <t>Central (Laxapana)</t>
  </si>
  <si>
    <t>Reservoir / Tunnel</t>
  </si>
  <si>
    <t>Laxapana Complex</t>
  </si>
  <si>
    <t>Polpitiya</t>
  </si>
  <si>
    <t>Canyon</t>
  </si>
  <si>
    <t>Run-of-river / Tunnel</t>
  </si>
  <si>
    <t>Wimalasurendra</t>
  </si>
  <si>
    <t>Broadlands</t>
  </si>
  <si>
    <t>Lakvijaya Unit 1</t>
  </si>
  <si>
    <t>Northwestern (Norochcholai)</t>
  </si>
  <si>
    <t>Coal</t>
  </si>
  <si>
    <t>Steam Turbine</t>
  </si>
  <si>
    <t>LTGEP: 3×270 MW derated; CEB AR: 900 MW installed</t>
  </si>
  <si>
    <t>Lakvijaya Unit 2</t>
  </si>
  <si>
    <t>Retirement planned 2041</t>
  </si>
  <si>
    <t>Lakvijaya Unit 3</t>
  </si>
  <si>
    <t>Retirement planned 2044</t>
  </si>
  <si>
    <t>Kelanitissa GT-07</t>
  </si>
  <si>
    <t>Western (Colombo)</t>
  </si>
  <si>
    <t>Oil</t>
  </si>
  <si>
    <t>Open Cycle Gas Turbine</t>
  </si>
  <si>
    <t>Retirement 2026; to be converted to synchronous condenser</t>
  </si>
  <si>
    <t>Kelanitissa CCY-1 GT (KCCP1)</t>
  </si>
  <si>
    <t>Combined Cycle GT</t>
  </si>
  <si>
    <t>Retirement 2033; CEB AR lists as 101 MW GT + 54 MW ST</t>
  </si>
  <si>
    <t>Kelanitissa CCY-1 ST (KCCP1)</t>
  </si>
  <si>
    <t>Combined Cycle ST</t>
  </si>
  <si>
    <t>Retirement 2033; part of KCCP1 combined cycle unit</t>
  </si>
  <si>
    <t>Kelanitissa CCY-2 GT (KCCP2)</t>
  </si>
  <si>
    <t>CEB AR lists 2nd combined cycle; LTGEP KCCP2 155 MW combined</t>
  </si>
  <si>
    <t>Kelanitissa CCY-2 ST (KCCP2)</t>
  </si>
  <si>
    <t>Part of KCCP2; retirement 2033</t>
  </si>
  <si>
    <t>Kelanitissa Frame V GTs</t>
  </si>
  <si>
    <t>Multiple older Frame V units</t>
  </si>
  <si>
    <t>Sapugaskanda A</t>
  </si>
  <si>
    <t>Diesel</t>
  </si>
  <si>
    <t>4×17 MW; retirement 2031; extension possible 2026</t>
  </si>
  <si>
    <t>Sapugaskanda B</t>
  </si>
  <si>
    <t>8×9 MW; retirement 2031; extension possible 2026</t>
  </si>
  <si>
    <t>Barge Mounted Plant</t>
  </si>
  <si>
    <t>Diesel Barge</t>
  </si>
  <si>
    <t>4×15.6 MW; retirement 2031; extension possible 2026</t>
  </si>
  <si>
    <t>Uthuru Janani</t>
  </si>
  <si>
    <t>Northern (Jaffna)</t>
  </si>
  <si>
    <t>3×8.9 MW; retirement 2033</t>
  </si>
  <si>
    <t>Old Kelanitissa Diesel</t>
  </si>
  <si>
    <t>Various older diesel units at Kelanitissa</t>
  </si>
  <si>
    <t>Thambapavani (Mannar) Wind Farm</t>
  </si>
  <si>
    <t>Northern (Mannar)</t>
  </si>
  <si>
    <t>Wind</t>
  </si>
  <si>
    <t>Onshore Wind</t>
  </si>
  <si>
    <t>CEB-owned wind farm; 391 GWh generated in 2023</t>
  </si>
  <si>
    <t>IPP Wind (various)</t>
  </si>
  <si>
    <t>Northern / Northwestern</t>
  </si>
  <si>
    <t>IPP</t>
  </si>
  <si>
    <t>Various IPPs</t>
  </si>
  <si>
    <t>Aggregate of IPP wind projects as per LTGEP Table 1.1</t>
  </si>
  <si>
    <t>IPP Ground-Mounted Solar</t>
  </si>
  <si>
    <t>Various</t>
  </si>
  <si>
    <t>Solar</t>
  </si>
  <si>
    <t>PV Ground-Mounted</t>
  </si>
  <si>
    <t>Aggregate as per LTGEP; excludes rooftop</t>
  </si>
  <si>
    <t>Rooftop Solar (CEB network)</t>
  </si>
  <si>
    <t>Various (CEB area)</t>
  </si>
  <si>
    <t>Prosumer</t>
  </si>
  <si>
    <t>Various consumers</t>
  </si>
  <si>
    <t>Rooftop PV / Net Metering</t>
  </si>
  <si>
    <t>LTGEP: 657 MW on CEB network; 606,627 connections per CEB AR 2023</t>
  </si>
  <si>
    <t>Rooftop Solar (LECO network)</t>
  </si>
  <si>
    <t>Western (LECO area)</t>
  </si>
  <si>
    <t>LTGEP: 158 MW on LECO distribution network</t>
  </si>
  <si>
    <t>IPP Mini Hydro (aggregate)</t>
  </si>
  <si>
    <t>Central / Sabaragamuwa / Uva</t>
  </si>
  <si>
    <t>Mini Hydro</t>
  </si>
  <si>
    <t>Run-of-river Small Hydro</t>
  </si>
  <si>
    <t>LTGEP aggregate; 1,390 GWh generated in 2023</t>
  </si>
  <si>
    <t>IPP Biomass / Waste Heat (aggregate)</t>
  </si>
  <si>
    <t>Biomass/Waste Heat</t>
  </si>
  <si>
    <t>Biomass / Waste-to-Energy</t>
  </si>
  <si>
    <t>LTGEP aggregate; 167 GWh generated in 2023</t>
  </si>
  <si>
    <t>TOTAL / SYSTEM</t>
  </si>
  <si>
    <t>5,194 MW total system incl. rooftop (LTGEP)</t>
  </si>
  <si>
    <t>SRI LANKA — Generation Summary: Historical Output &amp; Demand Forecast</t>
  </si>
  <si>
    <t>Source: generation-profile-data.csv (CEB); CEB Annual Report 2023; LTGEP 2025–2044 (CEB, 2024)</t>
  </si>
  <si>
    <t>Category</t>
  </si>
  <si>
    <t>2019</t>
  </si>
  <si>
    <t>2020</t>
  </si>
  <si>
    <t>2021</t>
  </si>
  <si>
    <t>2022</t>
  </si>
  <si>
    <t>2023</t>
  </si>
  <si>
    <t>Notes/Source</t>
  </si>
  <si>
    <t>--- HISTORICAL NET GENERATION (GWh/year) ---</t>
  </si>
  <si>
    <t>4,159.91</t>
  </si>
  <si>
    <t>3,392.21</t>
  </si>
  <si>
    <t>5,404.50</t>
  </si>
  <si>
    <t>5,334.28</t>
  </si>
  <si>
    <t>4,573.35</t>
  </si>
  <si>
    <t>CEB CSV; hydro share 29.4% in 2023</t>
  </si>
  <si>
    <t>Coal (Lakvijaya)</t>
  </si>
  <si>
    <t>2,019.23</t>
  </si>
  <si>
    <t>4,828.96</t>
  </si>
  <si>
    <t>4,986.07</t>
  </si>
  <si>
    <t>5,173.80</t>
  </si>
  <si>
    <t>4,646.06</t>
  </si>
  <si>
    <t>CEB CSV; 10% decline 2023 due to maintenance</t>
  </si>
  <si>
    <t>Oil — CEB Thermal</t>
  </si>
  <si>
    <t>1,291.99</t>
  </si>
  <si>
    <t>1,192.51</t>
  </si>
  <si>
    <t>1,089.03</t>
  </si>
  <si>
    <t>1,303.53</t>
  </si>
  <si>
    <t>1,966.76</t>
  </si>
  <si>
    <t>CEB CSV</t>
  </si>
  <si>
    <t>Oil — IPP</t>
  </si>
  <si>
    <t>2,338.28</t>
  </si>
  <si>
    <t>2,263.79</t>
  </si>
  <si>
    <t>1,175.00</t>
  </si>
  <si>
    <t>1,127.75</t>
  </si>
  <si>
    <t>1,160.08</t>
  </si>
  <si>
    <t>CEB CSV; 7.4% of total in 2023</t>
  </si>
  <si>
    <t>Wind (onshore)</t>
  </si>
  <si>
    <t>331.87</t>
  </si>
  <si>
    <t>306.96</t>
  </si>
  <si>
    <t>659.21</t>
  </si>
  <si>
    <t>723.13</t>
  </si>
  <si>
    <t>821.07</t>
  </si>
  <si>
    <t>CEB CSV; includes CEB Thambapavani + IPP</t>
  </si>
  <si>
    <t>Mini Hydro (IPP)</t>
  </si>
  <si>
    <t>889.74</t>
  </si>
  <si>
    <t>943.07</t>
  </si>
  <si>
    <t>1,568.15</t>
  </si>
  <si>
    <t>1,376.75</t>
  </si>
  <si>
    <t>1,390.49</t>
  </si>
  <si>
    <t>Biomass &amp; Waste Heat</t>
  </si>
  <si>
    <t>107.44</t>
  </si>
  <si>
    <t>87.49</t>
  </si>
  <si>
    <t>162.85</t>
  </si>
  <si>
    <t>117.16</t>
  </si>
  <si>
    <t>166.68</t>
  </si>
  <si>
    <t>NCRE (Other small-scale)</t>
  </si>
  <si>
    <t>95.30</t>
  </si>
  <si>
    <t>109.24</t>
  </si>
  <si>
    <t>156.02</t>
  </si>
  <si>
    <t>190.28</t>
  </si>
  <si>
    <t>227.43</t>
  </si>
  <si>
    <t>CEB CSV; small solar, biogas, etc.</t>
  </si>
  <si>
    <t>Rooftop Solar</t>
  </si>
  <si>
    <t>N/A</t>
  </si>
  <si>
    <t>11.41</t>
  </si>
  <si>
    <t>389.49</t>
  </si>
  <si>
    <t>529.66</t>
  </si>
  <si>
    <t>632.00</t>
  </si>
  <si>
    <t>CEB CSV; rapid growth from net-metering schemes</t>
  </si>
  <si>
    <t>Ground-Mounted Solar</t>
  </si>
  <si>
    <t>Not separately broken out in CSV</t>
  </si>
  <si>
    <t>TOTAL NET GENERATION</t>
  </si>
  <si>
    <t>15,603.92</t>
  </si>
  <si>
    <t>Note: CSV totals; CEB AR 2023 reports 15,576 GWh (minor rounding difference)</t>
  </si>
  <si>
    <t>--- RENEWABLE SHARE ---</t>
  </si>
  <si>
    <t>Renewable Energy %</t>
  </si>
  <si>
    <t>~40%</t>
  </si>
  <si>
    <t>~42%</t>
  </si>
  <si>
    <t>~57%</t>
  </si>
  <si>
    <t>~50%</t>
  </si>
  <si>
    <t>Renewable = Hydro+Wind+Solar+Mini Hydro+Biomass+NCRE; CEB AR 2023: 50%</t>
  </si>
  <si>
    <t>--- DEMAND STATISTICS ---</t>
  </si>
  <si>
    <t>Peak Demand (MW)</t>
  </si>
  <si>
    <t>~2,710</t>
  </si>
  <si>
    <t>2,415</t>
  </si>
  <si>
    <t>CEB AR 2023; 10.8% reduction from 2022; GREAT notes peak in March 2023</t>
  </si>
  <si>
    <t>Total Electricity Sales (GWh)</t>
  </si>
  <si>
    <t>14,153</t>
  </si>
  <si>
    <t>CEB AR 2023; distribution sales only</t>
  </si>
  <si>
    <t>System Energy Losses (%)</t>
  </si>
  <si>
    <t>9.3%</t>
  </si>
  <si>
    <t>CEB AR 2023</t>
  </si>
  <si>
    <t>5,194</t>
  </si>
  <si>
    <t>LTGEP &amp; GREAT: total incl. rooftop solar Dec 2023</t>
  </si>
  <si>
    <t>--- LTGEP 2025–2044 DEMAND FORECAST (Base Case Scenario 3) ---</t>
  </si>
  <si>
    <t>Year | Energy Demand (GWh) | Peak Demand (MW) | 5-yr Avg Growth Rate</t>
  </si>
  <si>
    <t>2025</t>
  </si>
  <si>
    <t>17,725</t>
  </si>
  <si>
    <t>2,727</t>
  </si>
  <si>
    <t>Base Case; 5% energy growth avg over 20 years</t>
  </si>
  <si>
    <t>2030</t>
  </si>
  <si>
    <t>22,927</t>
  </si>
  <si>
    <t>3,548</t>
  </si>
  <si>
    <t>Base Case LTGEP 2025–2044</t>
  </si>
  <si>
    <t>2035</t>
  </si>
  <si>
    <t>28,961</t>
  </si>
  <si>
    <t>4,507</t>
  </si>
  <si>
    <t>2040</t>
  </si>
  <si>
    <t>37,038</t>
  </si>
  <si>
    <t>5,798</t>
  </si>
  <si>
    <t>2044</t>
  </si>
  <si>
    <t>44,673</t>
  </si>
  <si>
    <t>7,026</t>
  </si>
  <si>
    <t>Base Case LTGEP 2025–2044; 20-yr avg: 5.0% energy, 5.1% peak</t>
  </si>
  <si>
    <t>SRI LANKA — Existing International Power Interconnections</t>
  </si>
  <si>
    <t>Source: LTGEP 2025–2044 (CEB, 2024); CEB Annual Report 2023</t>
  </si>
  <si>
    <t>Project</t>
  </si>
  <si>
    <t>From Country</t>
  </si>
  <si>
    <t>To Country</t>
  </si>
  <si>
    <t>From Point</t>
  </si>
  <si>
    <t>To Point</t>
  </si>
  <si>
    <t>Capacity (MW)</t>
  </si>
  <si>
    <t>Voltage Level</t>
  </si>
  <si>
    <t>DC/AC</t>
  </si>
  <si>
    <t>Directionality</t>
  </si>
  <si>
    <t>Operational Date</t>
  </si>
  <si>
    <t>No Existing Interconnections</t>
  </si>
  <si>
    <t>As of December 2023, Sri Lanka has NO operational cross-border electricity interconnections. The national grid operates as an isolated island system. The first interconnection (India–Sri Lanka HVDC) is planned for 2039. See 'Planned Interconnections' sheet.</t>
  </si>
  <si>
    <t>SRI LANKA — Planned International Power Interconnections</t>
  </si>
  <si>
    <t>Source: LTGEP 2025–2044, Chapter 13 (CEB, 2024)</t>
  </si>
  <si>
    <t>Function</t>
  </si>
  <si>
    <t>Background / Rationale</t>
  </si>
  <si>
    <t>Expected COD</t>
  </si>
  <si>
    <t>Source</t>
  </si>
  <si>
    <t>India–Sri Lanka HVDC Interconnection (Phase 1)</t>
  </si>
  <si>
    <t>India</t>
  </si>
  <si>
    <t>Sri Lanka</t>
  </si>
  <si>
    <t>Madurai New Substation (Tamil Nadu)</t>
  </si>
  <si>
    <t>Mannar (Northern Province)</t>
  </si>
  <si>
    <t>±320 kV HVDC</t>
  </si>
  <si>
    <t>Import/Export of electricity; grid balancing; energy trade</t>
  </si>
  <si>
    <t>500</t>
  </si>
  <si>
    <t>HVDC</t>
  </si>
  <si>
    <t>VSC-based HVDC. 2×500 MW capacity total; Phase 1 = 500 MW. Undersea cable. Cost: USD 1,225 million. Trading options studied: Bilateral stand-alone hybrid (4.06 UScts/kWh landed), Assured peak (8.76 UScts/kWh peak / 4.31 UScts/kWh off-peak), RTC (4.68 UScts/kWh), Day Ahead Market (variable). Government-to-Government arrangement India–Sri Lanka.</t>
  </si>
  <si>
    <t>2039</t>
  </si>
  <si>
    <t>Under study / MOU stage</t>
  </si>
  <si>
    <t>LTGEP 2025–2044 Chapter 13</t>
  </si>
  <si>
    <t>India–Sri Lanka HVDC Interconnection (Phase 2 / Expansion)</t>
  </si>
  <si>
    <t>India (TBD)</t>
  </si>
  <si>
    <t>Sri Lanka (TBD)</t>
  </si>
  <si>
    <t>Additional import/export capacity</t>
  </si>
  <si>
    <t>2nd ±320 kV HVDC cable of 500 MW capacity. Part of overall 2×500 MW VSC-based scheme. Timing dependent on Phase 1 success and demand growth.</t>
  </si>
  <si>
    <t>Post-2039</t>
  </si>
  <si>
    <t>Conceptual / Long-term plan</t>
  </si>
  <si>
    <t>Key Notes on India–Sri Lanka HVDC:</t>
  </si>
  <si>
    <t>• The interconnection is the FIRST cross-border power link for Sri Lanka</t>
  </si>
  <si>
    <t>• VSC (Voltage Source Converter) technology selected for island grid compatibility</t>
  </si>
  <si>
    <t>• Undersea cable distance: ~40 km sea crossing (Palk Strait / Mannar area) + onshore segments</t>
  </si>
  <si>
    <t>• The interconnection appears in LTGEP as 500 MW capacity addition in 2039 (Base Case)</t>
  </si>
  <si>
    <t>• Cost estimate: USD 1,225 million total project cost</t>
  </si>
  <si>
    <t>• Trading framework under study: 4 options analysed (bilateral, assured peak, RTC, DAM)</t>
  </si>
  <si>
    <t>• Bilateral stand-alone hybrid landed cost: 4.06 US cents/kWh (most cost-effective per LTGEP analysis)</t>
  </si>
  <si>
    <t>• Assures peak power option cost: 8.76 UScts/kWh peak period, 4.31 UScts/kWh off-peak</t>
  </si>
  <si>
    <t>• Grid code compliance and frequency regulation coordination required with Indian grid</t>
  </si>
  <si>
    <t>• CEB is participating entity; Ministry of Energy (Sri Lanka) and Ministry of Power (India) coordination needed</t>
  </si>
  <si>
    <t>SRI LANKA — Existing Transmission Network (as of 2023)</t>
  </si>
  <si>
    <t>Source: CEB Annual Report 2023; Transmission Development Plan 2013–2022 (CEB)</t>
  </si>
  <si>
    <t>Asset Type</t>
  </si>
  <si>
    <t>Voltage (kV)</t>
  </si>
  <si>
    <t>Circuit Configuration</t>
  </si>
  <si>
    <t>Length / Capacity</t>
  </si>
  <si>
    <t>Quantity</t>
  </si>
  <si>
    <t>Location / Route</t>
  </si>
  <si>
    <t>--- TRANSMISSION LINES ---</t>
  </si>
  <si>
    <t>Transmission Line</t>
  </si>
  <si>
    <t>220</t>
  </si>
  <si>
    <t>Double Circuit</t>
  </si>
  <si>
    <t>319 km</t>
  </si>
  <si>
    <t>1 route group</t>
  </si>
  <si>
    <t>Island-wide backbone (Colombo–Kandy–Habarana–Vavuniya etc.)</t>
  </si>
  <si>
    <t>220 kV DC backbone; CEB AR 2023</t>
  </si>
  <si>
    <t>Single Circuit</t>
  </si>
  <si>
    <t>183 km</t>
  </si>
  <si>
    <t>Various 220 kV single-circuit segments</t>
  </si>
  <si>
    <t>132</t>
  </si>
  <si>
    <t>4-Circuit</t>
  </si>
  <si>
    <t>4 km</t>
  </si>
  <si>
    <t>Short segment</t>
  </si>
  <si>
    <t>Urban area (Greater Colombo)</t>
  </si>
  <si>
    <t>1,565 km</t>
  </si>
  <si>
    <t>Island-wide</t>
  </si>
  <si>
    <t>Island-wide 132 kV DC network</t>
  </si>
  <si>
    <t>CEB AR 2023; main distribution-to-grid backbone</t>
  </si>
  <si>
    <t>315 km</t>
  </si>
  <si>
    <t>Rural and remote area 132 kV lines</t>
  </si>
  <si>
    <t>Underground Cable</t>
  </si>
  <si>
    <t>Underground</t>
  </si>
  <si>
    <t>50 km</t>
  </si>
  <si>
    <t>Greater Colombo area</t>
  </si>
  <si>
    <t>--- GRID SUBSTATIONS ---</t>
  </si>
  <si>
    <t>Grid Substation</t>
  </si>
  <si>
    <t>132/33 kV</t>
  </si>
  <si>
    <t>Transformer + switchgear</t>
  </si>
  <si>
    <t>3,461.5 MVA total</t>
  </si>
  <si>
    <t>49 substations</t>
  </si>
  <si>
    <t>Island-wide 132/33 kV grid substations</t>
  </si>
  <si>
    <t>220/132/33 kV</t>
  </si>
  <si>
    <t>2,100/500 MVA</t>
  </si>
  <si>
    <t>5 substations</t>
  </si>
  <si>
    <t>Major bulk supply points (Veyangoda, Polpitiya, Habarana, etc.)</t>
  </si>
  <si>
    <t>220/33 kV</t>
  </si>
  <si>
    <t>70 MVA</t>
  </si>
  <si>
    <t>1 substation</t>
  </si>
  <si>
    <t>Specific 220/33 direct supply</t>
  </si>
  <si>
    <t>132/11 kV</t>
  </si>
  <si>
    <t>369 MVA</t>
  </si>
  <si>
    <t>Urban distribution supply points</t>
  </si>
  <si>
    <t>220/132 kV</t>
  </si>
  <si>
    <t>Auto-transformer</t>
  </si>
  <si>
    <t>405 MVA</t>
  </si>
  <si>
    <t>2 substations</t>
  </si>
  <si>
    <t>Voltage transformation points on 220 kV backbone</t>
  </si>
  <si>
    <t>--- REACTIVE POWER / COMPENSATION ---</t>
  </si>
  <si>
    <t>Shunt Capacitor Banks</t>
  </si>
  <si>
    <t>132 kV / 33 kV</t>
  </si>
  <si>
    <t>Fixed / Switched capacitors</t>
  </si>
  <si>
    <t>240 MVAr total</t>
  </si>
  <si>
    <t>Multiple banks</t>
  </si>
  <si>
    <t>Various grid substations island-wide</t>
  </si>
  <si>
    <t>--- HISTORICAL BASELINE (2013 per Transmission Plan 2013–2022) ---</t>
  </si>
  <si>
    <t>Transmission Line (2013 baseline)</t>
  </si>
  <si>
    <t>Same as 2023 — 220 kV DC network largely inherited</t>
  </si>
  <si>
    <t>Transmission Plan 2013–2022 (CEB)</t>
  </si>
  <si>
    <t>Same as 2023</t>
  </si>
  <si>
    <t>Transmission Plan 2013–2022</t>
  </si>
  <si>
    <t>Underground Cable (2013 baseline)</t>
  </si>
  <si>
    <t>Greater Colombo</t>
  </si>
  <si>
    <t>Grid Substation (2013 baseline)</t>
  </si>
  <si>
    <t>3,461.5 MVA</t>
  </si>
  <si>
    <t>49</t>
  </si>
  <si>
    <t>5</t>
  </si>
  <si>
    <t>1</t>
  </si>
  <si>
    <t>220/132 kV Auto-Transformer</t>
  </si>
  <si>
    <t>2</t>
  </si>
  <si>
    <t>Reactive Power (2013 baseline)</t>
  </si>
  <si>
    <t>Shunt capacitors</t>
  </si>
  <si>
    <t>240 MVAr</t>
  </si>
  <si>
    <t>SRI LANKA — Planned Transmission Infrastructure</t>
  </si>
  <si>
    <t>Source: LTGEP 2025–2044 Table 14.1 (CEB, 2024); RE Project Development Plan / GREAT 2025–2030 (CEB/SLSEA, Dec 2024); Transmission Development Plan 2013–2022 (CEB)</t>
  </si>
  <si>
    <t>Project / Line</t>
  </si>
  <si>
    <t>From</t>
  </si>
  <si>
    <t>To</t>
  </si>
  <si>
    <t>Voltage Level (kV)</t>
  </si>
  <si>
    <t>Function / Purpose</t>
  </si>
  <si>
    <t>--- LTGEP 2025–2044 PLANNED TRANSMISSION (Table 14.1) ---</t>
  </si>
  <si>
    <t>Veyangoda–Kirindiwela–Padukka 220 kV line</t>
  </si>
  <si>
    <t>Veyangoda</t>
  </si>
  <si>
    <t>Padukka (via Kirindiwela)</t>
  </si>
  <si>
    <t>Connect 1st NG Combined Cycle (Sobadhanavi) to grid</t>
  </si>
  <si>
    <t>~New line</t>
  </si>
  <si>
    <t>Required for 1st NG CCY commissioning 2025</t>
  </si>
  <si>
    <t>Planned</t>
  </si>
  <si>
    <t>LTGEP Table 14.1</t>
  </si>
  <si>
    <t>Kotmale–New Polpitiya 220 kV line</t>
  </si>
  <si>
    <t>New Polpitiya</t>
  </si>
  <si>
    <t>Strengthen central transmission corridor</t>
  </si>
  <si>
    <t>Required for 1st NG CCY integration</t>
  </si>
  <si>
    <t>Kerawalapitiya 220 kV switching station</t>
  </si>
  <si>
    <t>Kerawalapitiya</t>
  </si>
  <si>
    <t>New 220 kV switching point (western grid hub)</t>
  </si>
  <si>
    <t>New substation</t>
  </si>
  <si>
    <t>Backbone strengthening</t>
  </si>
  <si>
    <t>Siyambalanduwa–Monaragala 132 kV line</t>
  </si>
  <si>
    <t>Siyambalanduwa</t>
  </si>
  <si>
    <t>Monaragala</t>
  </si>
  <si>
    <t>Connect Siyambalanduwa solar (100 MW) to grid</t>
  </si>
  <si>
    <t>Solar evacuation — Southern region</t>
  </si>
  <si>
    <t>2026</t>
  </si>
  <si>
    <t>Kirindiwela 220 kV GSS switching station</t>
  </si>
  <si>
    <t>Kirindiwela</t>
  </si>
  <si>
    <t>New 220 kV grid switching station</t>
  </si>
  <si>
    <t>Grid expansion node</t>
  </si>
  <si>
    <t>2027</t>
  </si>
  <si>
    <t>Medagama–Ampara 132 kV line reconstruction</t>
  </si>
  <si>
    <t>Medagama</t>
  </si>
  <si>
    <t>Ampara</t>
  </si>
  <si>
    <t>Reconstruct aging 132 kV line for reliability</t>
  </si>
  <si>
    <t>Asset renewal; Eastern region</t>
  </si>
  <si>
    <t>Matara–Hambantota 132 kV line</t>
  </si>
  <si>
    <t>Matara</t>
  </si>
  <si>
    <t>Hambantota</t>
  </si>
  <si>
    <t>Strengthen southern coastal grid</t>
  </si>
  <si>
    <t>Load growth — Southern Province</t>
  </si>
  <si>
    <t>Kappalthurei–Sampur 220 kV line (initial 132 kV operation)</t>
  </si>
  <si>
    <t>Kappalthurei (Collector SS)</t>
  </si>
  <si>
    <t>Sampur</t>
  </si>
  <si>
    <t>220 (initial 132 kV)</t>
  </si>
  <si>
    <t>Evacuate NE zone solar (Sampur Phase I 50 MW)</t>
  </si>
  <si>
    <t>Northeastern solar zone connection; funded via AIIB</t>
  </si>
  <si>
    <t>Under construction / AIIB loan dialogue</t>
  </si>
  <si>
    <t>LTGEP Table 14.1; GREAT Table 3</t>
  </si>
  <si>
    <t>Mannar–Vavuniya 220 kV reconductoring</t>
  </si>
  <si>
    <t>Mannar</t>
  </si>
  <si>
    <t>Vavuniya</t>
  </si>
  <si>
    <t>Increase northern corridor capacity for wind expansion</t>
  </si>
  <si>
    <t>Enable 270 MW additional wind capacity post-reconductoring; materials received</t>
  </si>
  <si>
    <t>Ongoing — materials received</t>
  </si>
  <si>
    <t>LTGEP Table 14.1; GREAT Table 3 &amp; Table 4</t>
  </si>
  <si>
    <t>Pooneryn–Northern Collector 220 kV line</t>
  </si>
  <si>
    <t>Pooneryn (wind farm)</t>
  </si>
  <si>
    <t>Northern Collector SS</t>
  </si>
  <si>
    <t>Evacuate Pooneryn 234 MW wind</t>
  </si>
  <si>
    <t>Northern zone wind integration</t>
  </si>
  <si>
    <t>2028</t>
  </si>
  <si>
    <t>Vavuniya–Northern Collector 220 kV line</t>
  </si>
  <si>
    <t>Northern collector substation integration</t>
  </si>
  <si>
    <t>Northern backbone development</t>
  </si>
  <si>
    <t>New Habarana–Kappalthurei 220 kV line</t>
  </si>
  <si>
    <t>New Habarana</t>
  </si>
  <si>
    <t>Kappalthurei</t>
  </si>
  <si>
    <t>Evacuate up to 1,000 MW from NE zone solar and wind</t>
  </si>
  <si>
    <t>Critical NE transmission link; AIIB funding under dialogue</t>
  </si>
  <si>
    <t>2028–2029</t>
  </si>
  <si>
    <t>AIIB loan under dialogue</t>
  </si>
  <si>
    <t>Kappalthurei–Trincomalee No.2 220 kV</t>
  </si>
  <si>
    <t>Trincomalee</t>
  </si>
  <si>
    <t>Strengthen NE corridor; connect Trinco solar</t>
  </si>
  <si>
    <t>NE zone expansion</t>
  </si>
  <si>
    <t>2029</t>
  </si>
  <si>
    <t>Kerawalapitiya–Port (2nd) 220 kV cable</t>
  </si>
  <si>
    <t>Port (Colombo)</t>
  </si>
  <si>
    <t>2nd undersea cable; increase western feed reliability</t>
  </si>
  <si>
    <t>Underground/submarine cable</t>
  </si>
  <si>
    <t>Western Colombo grid redundancy</t>
  </si>
  <si>
    <t>New Habarana–Vavuniya–Northern Collector 400 kV backbone (initial 220 kV)</t>
  </si>
  <si>
    <t>Northern Collector (via Vavuniya)</t>
  </si>
  <si>
    <t>400 (initial 220 kV)</t>
  </si>
  <si>
    <t>Northern backbone — evacuate northern zone RE (900+ MW)</t>
  </si>
  <si>
    <t>~170 km</t>
  </si>
  <si>
    <t>Critical backbone for Kilinochchi sub-region; financial arrangements needed</t>
  </si>
  <si>
    <t>2028–2032</t>
  </si>
  <si>
    <t>Financial arrangements needed</t>
  </si>
  <si>
    <t>Hambantota–Monaragala 220 kV</t>
  </si>
  <si>
    <t>Strengthen south-east link</t>
  </si>
  <si>
    <t>Southern/Eastern grid integration</t>
  </si>
  <si>
    <t>New Habarana–Valachchenai 220 kV</t>
  </si>
  <si>
    <t>Valachchenai</t>
  </si>
  <si>
    <t>Eastern coastal area connection</t>
  </si>
  <si>
    <t>Eastern region integration</t>
  </si>
  <si>
    <t>2032</t>
  </si>
  <si>
    <t>Puttalam–Chilaw 132 kV reconductoring</t>
  </si>
  <si>
    <t>Puttalam</t>
  </si>
  <si>
    <t>Chilaw</t>
  </si>
  <si>
    <t>Reconductoring for capacity increase</t>
  </si>
  <si>
    <t>Northwestern load growth &amp; RE integration</t>
  </si>
  <si>
    <t>New Habarana–Maha–Kirindiwela 400 kV line</t>
  </si>
  <si>
    <t>Kirindiwela (via Maha)</t>
  </si>
  <si>
    <t>400</t>
  </si>
  <si>
    <t>Southern backbone — evacuate PSPP 600 MW + northern RE</t>
  </si>
  <si>
    <t>Critical for PSPP Maha commissioning 2034; financial arrangements needed</t>
  </si>
  <si>
    <t>2033–2034</t>
  </si>
  <si>
    <t>--- TRANSMISSION PLAN 2013–2022 COMMITTED PROJECTS ---</t>
  </si>
  <si>
    <t>Habarana–Veyangoda 220 kV (148 km)</t>
  </si>
  <si>
    <t>Habarana</t>
  </si>
  <si>
    <t>North–South 220 kV backbone (committed)</t>
  </si>
  <si>
    <t>148 km DC</t>
  </si>
  <si>
    <t>Major backbone expansion; scheduled 2016</t>
  </si>
  <si>
    <t>2016 (completed)</t>
  </si>
  <si>
    <t>Completed / Operational</t>
  </si>
  <si>
    <t>New Polpitiya–Hambantota 220 kV via Embilipitiya</t>
  </si>
  <si>
    <t>Hambantota (via Embilipitiya)</t>
  </si>
  <si>
    <t>Southern 220 kV spine</t>
  </si>
  <si>
    <t>150 km</t>
  </si>
  <si>
    <t>Southern grid strengthening</t>
  </si>
  <si>
    <t>~2018 (committed)</t>
  </si>
  <si>
    <t>Committed / likely completed</t>
  </si>
  <si>
    <t>Sampoor–Kappalthurei 220 kV (45 km)</t>
  </si>
  <si>
    <t>Sampoor</t>
  </si>
  <si>
    <t>NE zone solar/wind evacuation</t>
  </si>
  <si>
    <t>45 km</t>
  </si>
  <si>
    <t>Committed 2018; enabled by GSS</t>
  </si>
  <si>
    <t>Committed — see LTGEP for current status</t>
  </si>
  <si>
    <t>Victoria–Randenigala 220 kV (16.4 km)</t>
  </si>
  <si>
    <t>Victoria GS</t>
  </si>
  <si>
    <t>Randenigala GS</t>
  </si>
  <si>
    <t>Hydro plant interconnection</t>
  </si>
  <si>
    <t>16.4 km</t>
  </si>
  <si>
    <t>Committed 2018</t>
  </si>
  <si>
    <t>Greater Colombo: Port 220/132 kV GS</t>
  </si>
  <si>
    <t>Port Area</t>
  </si>
  <si>
    <t>Colombo central</t>
  </si>
  <si>
    <t>220/132</t>
  </si>
  <si>
    <t>Colombo grid loss reduction</t>
  </si>
  <si>
    <t>New GS</t>
  </si>
  <si>
    <t>Greater Colombo T&amp;D loss reduction project</t>
  </si>
  <si>
    <t>Committed</t>
  </si>
  <si>
    <t>Greater Colombo: Colombo L1, L2, M, N 132/11 kV GS</t>
  </si>
  <si>
    <t>Multiple Colombo nodes</t>
  </si>
  <si>
    <t>Various Colombo</t>
  </si>
  <si>
    <t>132/11</t>
  </si>
  <si>
    <t>Urban distribution supply quality</t>
  </si>
  <si>
    <t>4 new GS</t>
  </si>
  <si>
    <t>Greater Colombo project</t>
  </si>
  <si>
    <t>Kilinochchi–Chunnakam 132 kV (67.2 km)</t>
  </si>
  <si>
    <t>Kilinochchi</t>
  </si>
  <si>
    <t>Chunnakam (Jaffna)</t>
  </si>
  <si>
    <t>Northern peninsula electrification post-war</t>
  </si>
  <si>
    <t>67.2 km</t>
  </si>
  <si>
    <t>Scheduled 2013; post-conflict reconnection</t>
  </si>
  <si>
    <t>2013 (completed)</t>
  </si>
  <si>
    <t>Galle–Matara 132 kV (35 km)</t>
  </si>
  <si>
    <t>Galle</t>
  </si>
  <si>
    <t>Southern coastal grid extension</t>
  </si>
  <si>
    <t>35 km</t>
  </si>
  <si>
    <t>Likely completed</t>
  </si>
  <si>
    <t>Ambalangoda–Galle 132 kV (40 km)</t>
  </si>
  <si>
    <t>Ambalangoda</t>
  </si>
  <si>
    <t>Southern coastal grid redundancy</t>
  </si>
  <si>
    <t>40 km</t>
  </si>
  <si>
    <t>--- TARGET TRANSMISSION SYSTEM 2022 (from Transmission Plan 2013–2022) ---</t>
  </si>
  <si>
    <t>220 kV Double Circuit (target 2022)</t>
  </si>
  <si>
    <t>Backbone expansion</t>
  </si>
  <si>
    <t>997 km DC</t>
  </si>
  <si>
    <t>Target from Transmission Plan 2013–2022</t>
  </si>
  <si>
    <t>Target</t>
  </si>
  <si>
    <t>220 kV Single Circuit (target 2022)</t>
  </si>
  <si>
    <t>Radial segments</t>
  </si>
  <si>
    <t>36 km SC</t>
  </si>
  <si>
    <t>220 kV Underground Cable (target 2022)</t>
  </si>
  <si>
    <t>Urban underground</t>
  </si>
  <si>
    <t>24 km</t>
  </si>
  <si>
    <t>132 kV Double Circuit (target 2022)</t>
  </si>
  <si>
    <t>Regional distribution</t>
  </si>
  <si>
    <t>2,256 km DC</t>
  </si>
  <si>
    <t>132 kV Single Circuit (target 2022)</t>
  </si>
  <si>
    <t>Rural</t>
  </si>
  <si>
    <t>Rural areas</t>
  </si>
  <si>
    <t>215 km SC</t>
  </si>
  <si>
    <t>132 kV Underground Cable (target 2022)</t>
  </si>
  <si>
    <t>Urban areas</t>
  </si>
  <si>
    <t>Underground in cities</t>
  </si>
  <si>
    <t>85 km</t>
  </si>
  <si>
    <t>400 kV lines (target 2022)</t>
  </si>
  <si>
    <t>Northern corridor</t>
  </si>
  <si>
    <t>Future HV backbone</t>
  </si>
  <si>
    <t>170 km</t>
  </si>
  <si>
    <t>First 400 kV development in Sri Lanka</t>
  </si>
  <si>
    <t>Target / Partial</t>
  </si>
  <si>
    <t>Grid Substations 132/33 kV (target 2022)</t>
  </si>
  <si>
    <t>132/33</t>
  </si>
  <si>
    <t>Distribution supply</t>
  </si>
  <si>
    <t>5,344 MVA / 71 GSS</t>
  </si>
  <si>
    <t>Grid Substations 220/33 kV (target 2022)</t>
  </si>
  <si>
    <t>220/33</t>
  </si>
  <si>
    <t>Direct supply</t>
  </si>
  <si>
    <t>520 MVA / 6 GSS</t>
  </si>
  <si>
    <t>Grid Substations 220/132 kV (target 2022)</t>
  </si>
  <si>
    <t>Autotransformers</t>
  </si>
  <si>
    <t>4,310 MVA / 11 GSS</t>
  </si>
  <si>
    <t>Grid Substations 400/220 kV (target 2022)</t>
  </si>
  <si>
    <t>400/220</t>
  </si>
  <si>
    <t>HV transformation</t>
  </si>
  <si>
    <t>5,300 MVA / 4 GSS</t>
  </si>
  <si>
    <t>Reactive Power (target 2022)</t>
  </si>
  <si>
    <t>Voltage support</t>
  </si>
  <si>
    <t>845 MVAr capacitors</t>
  </si>
  <si>
    <t>--- GREAT 2025–2030 ADDITIONAL TRANSMISSION PROJECTS ---</t>
  </si>
  <si>
    <t>220 kV Mannar–Mullikulama line</t>
  </si>
  <si>
    <t>Mullikulama</t>
  </si>
  <si>
    <t>Connect Mullikulam 100 MW wind farm</t>
  </si>
  <si>
    <t>Required for Mullikulam wind; tender to be initiated</t>
  </si>
  <si>
    <t>Planned — tender to initiate 2026</t>
  </si>
  <si>
    <t>GREAT 2025–2030 Table 3</t>
  </si>
  <si>
    <t>70 MVA Synchronous Condenser at Mannar</t>
  </si>
  <si>
    <t>Grid inertia / voltage support</t>
  </si>
  <si>
    <t>Required for high RE penetration; replaces synchronous generation</t>
  </si>
  <si>
    <t>Funding to be arranged</t>
  </si>
  <si>
    <t>GREAT 2025–2030 Table 7</t>
  </si>
  <si>
    <t>70 MVA Synchronous Condenser at New Habarana</t>
  </si>
  <si>
    <t>220/400</t>
  </si>
  <si>
    <t>Required for high RE penetration in northern grid</t>
  </si>
  <si>
    <t>Kelanitissa GT-7 conversion to Synchronous Condenser</t>
  </si>
  <si>
    <t>Kelanitissa</t>
  </si>
  <si>
    <t>Repurpose retiring GT-7 for grid support</t>
  </si>
  <si>
    <t>115 MW → Syncon</t>
  </si>
  <si>
    <t>On retirement of GT-7 in 2026; provides inertia support</t>
  </si>
  <si>
    <t>SRI LANKA — Planned Power Generation Projects (Base Case LTGEP 2025–2044 &amp; GREAT 2025–2030)</t>
  </si>
  <si>
    <t>Source: LTGEP 2025–2044 Table 3.2 / Base Case Scenario 3 (CEB, 2024); RE Project Development Plan / GREAT 2025–2030 Table 5, 6, 7 (CEB/SLSEA, December 2024)</t>
  </si>
  <si>
    <t>Project / Plant</t>
  </si>
  <si>
    <t>Zone / Location</t>
  </si>
  <si>
    <t>Developer</t>
  </si>
  <si>
    <t>Notes / Source</t>
  </si>
  <si>
    <t>Sobadhanavi NG Combined Cycle (1st CCY GT)</t>
  </si>
  <si>
    <t>Western (Kerawalapitiya)</t>
  </si>
  <si>
    <t>Natural Gas</t>
  </si>
  <si>
    <t>OCGT (Phase 1 of CCY)</t>
  </si>
  <si>
    <t>CEB / IPP</t>
  </si>
  <si>
    <t>Under construction / advanced</t>
  </si>
  <si>
    <t>1st NG CCY GT unit; full CCY with ST in 2026</t>
  </si>
  <si>
    <t>Solar PV (grid-scale, various zones)</t>
  </si>
  <si>
    <t>Multiple zones</t>
  </si>
  <si>
    <t>Ground-mounted PV</t>
  </si>
  <si>
    <t>IPPs</t>
  </si>
  <si>
    <t>LTGEP Base Case 2025 addition; includes SPPA &amp; tender projects</t>
  </si>
  <si>
    <t>Wind (various)</t>
  </si>
  <si>
    <t>Northern / NW</t>
  </si>
  <si>
    <t>LTGEP small wind addition 2025</t>
  </si>
  <si>
    <t>Mini Hydro (various)</t>
  </si>
  <si>
    <t>Central / Sabaragamuwa</t>
  </si>
  <si>
    <t>LTGEP 2025 mini hydro addition</t>
  </si>
  <si>
    <t>Biomass (various)</t>
  </si>
  <si>
    <t>Biomass</t>
  </si>
  <si>
    <t>Biomass CHP</t>
  </si>
  <si>
    <t>LTGEP 2025 biomass addition</t>
  </si>
  <si>
    <t>BESS (Kollonawa, 1st utility-scale)</t>
  </si>
  <si>
    <t>Western (Kollonawa)</t>
  </si>
  <si>
    <t>Storage (BESS)</t>
  </si>
  <si>
    <t>Li-Ion Battery 5 MW / 10 MWh</t>
  </si>
  <si>
    <t>Funding secured</t>
  </si>
  <si>
    <t>2025 (Dec)</t>
  </si>
  <si>
    <t>First utility-scale BESS; 100 MW/100 MWh full project commissioning 2026</t>
  </si>
  <si>
    <t>Sobadhanavi NG CCY Steam Turbine (1st CCY ST)</t>
  </si>
  <si>
    <t>ST stage of 1st NG CCY; total CCY ~350 MW</t>
  </si>
  <si>
    <t>2nd NG CCY GT</t>
  </si>
  <si>
    <t>Western</t>
  </si>
  <si>
    <t>OCGT</t>
  </si>
  <si>
    <t>2nd NG combined cycle GT unit</t>
  </si>
  <si>
    <t>Solar PV (grid-scale)</t>
  </si>
  <si>
    <t>LTGEP Base Case 2026; includes Siyambalanduwa 100 MW (GREAT Table 5)</t>
  </si>
  <si>
    <t>LTGEP 2026 wind additions; includes Mannar Extension 50 MW (GREAT)</t>
  </si>
  <si>
    <t>Central</t>
  </si>
  <si>
    <t>BESS Kollonawa (100 MW / 100 MWh)</t>
  </si>
  <si>
    <t>Li-Ion Battery 100 MW / 100 MWh</t>
  </si>
  <si>
    <t>First utility-scale BESS; GREAT Annex 3</t>
  </si>
  <si>
    <t>Sapugaskanda A extension (life ext.)</t>
  </si>
  <si>
    <t>Diesel engine (extended)</t>
  </si>
  <si>
    <t>Life extension of 4×17 MW units; final retirement 2031</t>
  </si>
  <si>
    <t>Sapugaskanda B extension</t>
  </si>
  <si>
    <t>Life extension 8×9 MW units; final retirement 2031</t>
  </si>
  <si>
    <t>Barge Plant extension</t>
  </si>
  <si>
    <t>Diesel Barge (extended)</t>
  </si>
  <si>
    <t>Life extension 4×15.6 MW; final retirement 2031</t>
  </si>
  <si>
    <t>Kelanitissa GT-07 RETIREMENT</t>
  </si>
  <si>
    <t>Oil (RETIREMENT)</t>
  </si>
  <si>
    <t>Retirement</t>
  </si>
  <si>
    <t>Conversion to Synchronous Condenser</t>
  </si>
  <si>
    <t>2nd NG CCY Steam Turbine</t>
  </si>
  <si>
    <t>ST stage of 2nd NG CCY</t>
  </si>
  <si>
    <t>Multiple</t>
  </si>
  <si>
    <t>LTGEP 2027; incl. Valaichenai 100 MW (Eastern, GREAT)</t>
  </si>
  <si>
    <t>Mannar Phase II 250 MW (GREAT Table 6) + others</t>
  </si>
  <si>
    <t>NG Internal Combustion Engine (200 MW)</t>
  </si>
  <si>
    <t>TBD</t>
  </si>
  <si>
    <t>IC Engine / Reciprocating gas</t>
  </si>
  <si>
    <t>LTGEP 2028 addition; flexible generation for RE balancing</t>
  </si>
  <si>
    <t>Incl. Sampur Phase I 50 MW, Kalpitiya 120 MW wind (GREAT)</t>
  </si>
  <si>
    <t>Incl. Mullikulam 100 MW (GREAT Table 6)</t>
  </si>
  <si>
    <t>BESS Southern Region (100 MW / 400 MWh)</t>
  </si>
  <si>
    <t>Southern</t>
  </si>
  <si>
    <t>Li-Ion Battery 100 MW / 400 MWh</t>
  </si>
  <si>
    <t>Financial arrangement needed</t>
  </si>
  <si>
    <t>GREAT Annex 3; long-duration storage for southern RE zone</t>
  </si>
  <si>
    <t>Incl. Sampur II 70 MW, Trinco I 100 MW, Ridiyagama 100 MW (GREAT)</t>
  </si>
  <si>
    <t>Northern</t>
  </si>
  <si>
    <t>BESS (100 MW / 400 MWh, 3rd unit)</t>
  </si>
  <si>
    <t>GREAT Annex 3</t>
  </si>
  <si>
    <t>Kelanitissa New GT (gas turbine)</t>
  </si>
  <si>
    <t>Western (Kelanitissa)</t>
  </si>
  <si>
    <t>New GT at Kelanitissa site; replacement/peaking plant</t>
  </si>
  <si>
    <t>Incl. Pooneryn 234 MW wind (GREAT) from northern zone</t>
  </si>
  <si>
    <t>BESS Western (50 MW / 50 MWh)</t>
  </si>
  <si>
    <t>Li-Ion Battery 50 MW / 50 MWh</t>
  </si>
  <si>
    <t>NG Gas Turbine (100 MW)</t>
  </si>
  <si>
    <t>2031</t>
  </si>
  <si>
    <t>Incl. Kilinochchi I 50 MW, Kilinochchi II 100 MW (GREAT, 2029/2031)</t>
  </si>
  <si>
    <t>Incl. Veravil 200 MW (GREAT)</t>
  </si>
  <si>
    <t>BESS (100 MW / 400 MWh, 5th unit)</t>
  </si>
  <si>
    <t>Sapugaskanda A RETIREMENT</t>
  </si>
  <si>
    <t>End of life extension</t>
  </si>
  <si>
    <t>Sapugaskanda B RETIREMENT</t>
  </si>
  <si>
    <t>Barge Plant RETIREMENT</t>
  </si>
  <si>
    <t>Incl. Karachchi 120 MW wind (GREAT 2032)</t>
  </si>
  <si>
    <t>Karachchi Wind 120 MW (GREAT Table 6)</t>
  </si>
  <si>
    <t>BESS (200 MW / 800 MWh)</t>
  </si>
  <si>
    <t>Li-Ion Battery 200 MW / 800 MWh</t>
  </si>
  <si>
    <t>GREAT Annex 3; large-scale storage</t>
  </si>
  <si>
    <t>KCCP1 (Kelanitissa CCY-1) RETIREMENT</t>
  </si>
  <si>
    <t>2033</t>
  </si>
  <si>
    <t>Combined total of GT + ST KCCP1</t>
  </si>
  <si>
    <t>KCCP2 (Kelanitissa CCY-2) RETIREMENT</t>
  </si>
  <si>
    <t>Combined total of GT + ST KCCP2</t>
  </si>
  <si>
    <t>Uthuru Janani RETIREMENT</t>
  </si>
  <si>
    <t>Maha Oya Pumped Storage Power Plant (PSPP)</t>
  </si>
  <si>
    <t>North Western (Maha Oya)</t>
  </si>
  <si>
    <t>Pumped Hydro Storage</t>
  </si>
  <si>
    <t>Pumped Storage 3×200 MW</t>
  </si>
  <si>
    <t>NPD approval &amp; EIA submitted</t>
  </si>
  <si>
    <t>2034 (Jan)</t>
  </si>
  <si>
    <t>600 MW / large storage; critical for balancing high RE; GREAT Annex 4</t>
  </si>
  <si>
    <t>2034</t>
  </si>
  <si>
    <t>NG/H2 Gas Turbine (300 MW)</t>
  </si>
  <si>
    <t>Natural Gas / Hydrogen</t>
  </si>
  <si>
    <t>OCGT (H2-ready)</t>
  </si>
  <si>
    <t>Hydrogen-ready gas turbine; transition fuel flexibility</t>
  </si>
  <si>
    <t>Westcoast CCY RETIREMENT</t>
  </si>
  <si>
    <t>Oil/Gas (RETIREMENT)</t>
  </si>
  <si>
    <t>Aging combined cycle plant retirement</t>
  </si>
  <si>
    <t>NG/H2 GT additions (2036)</t>
  </si>
  <si>
    <t>OCGT H2-ready</t>
  </si>
  <si>
    <t>2036</t>
  </si>
  <si>
    <t>NG/H2 GT (2037)</t>
  </si>
  <si>
    <t>2037</t>
  </si>
  <si>
    <t>Solar PV 2036–2037</t>
  </si>
  <si>
    <t>2036–2037</t>
  </si>
  <si>
    <t>Annual additions per LTGEP</t>
  </si>
  <si>
    <t>NG/H2 IC Engine (200 MW, 2038)</t>
  </si>
  <si>
    <t>IC Engine H2-ready</t>
  </si>
  <si>
    <t>2038</t>
  </si>
  <si>
    <t>Flexible reciprocating engine</t>
  </si>
  <si>
    <t>Solar PV 2038</t>
  </si>
  <si>
    <t>Wind 2038</t>
  </si>
  <si>
    <t>Northern / Offshore</t>
  </si>
  <si>
    <t>India–Sri Lanka HVDC Interconnection (500 MW)</t>
  </si>
  <si>
    <t>Import (India)</t>
  </si>
  <si>
    <t>VSC-HVDC ±320 kV</t>
  </si>
  <si>
    <t>CEB / India (Govt-to-Govt)</t>
  </si>
  <si>
    <t>Under study</t>
  </si>
  <si>
    <t>Cross-border interconnection; LTGEP capacity addition 2039</t>
  </si>
  <si>
    <t>NG/H2 GT (200 MW, 2039)</t>
  </si>
  <si>
    <t>Solar PV 2039–2043</t>
  </si>
  <si>
    <t>2039–2043</t>
  </si>
  <si>
    <t>Annual ~400 MW additions</t>
  </si>
  <si>
    <t>Wind 2039–2042</t>
  </si>
  <si>
    <t>Onshore/Offshore Wind</t>
  </si>
  <si>
    <t>2039–2042</t>
  </si>
  <si>
    <t>NG/H2 GT additions 2040–2043</t>
  </si>
  <si>
    <t>OCGT / CCY H2-ready</t>
  </si>
  <si>
    <t>2040–2043</t>
  </si>
  <si>
    <t>Annual additions for peaking / flexibility</t>
  </si>
  <si>
    <t>Offshore Wind (500 MW)</t>
  </si>
  <si>
    <t>Offshore (Southern/NW)</t>
  </si>
  <si>
    <t>Wind (Offshore)</t>
  </si>
  <si>
    <t>Offshore Wind Farm</t>
  </si>
  <si>
    <t>IPP / CEB</t>
  </si>
  <si>
    <t>2043</t>
  </si>
  <si>
    <t>First major offshore wind development</t>
  </si>
  <si>
    <t>Nuclear Power Plant (600 MW)</t>
  </si>
  <si>
    <t>TBD (island location)</t>
  </si>
  <si>
    <t>Nuclear</t>
  </si>
  <si>
    <t>Nuclear SMR or conventional</t>
  </si>
  <si>
    <t>CEB / State</t>
  </si>
  <si>
    <t>Long-term plan</t>
  </si>
  <si>
    <t>First nuclear unit in Sri Lanka; LTGEP long-term option</t>
  </si>
  <si>
    <t>NG/H2 GT (200 MW, 2044)</t>
  </si>
  <si>
    <t>Solar PV 2044</t>
  </si>
  <si>
    <t>BESS (50 MW / 200 MWh, 2044)</t>
  </si>
  <si>
    <t>Li-Ion Battery 50 MW / 200 MWh</t>
  </si>
  <si>
    <t>Lakvijaya Units 2 &amp; 3 RETIREMENT</t>
  </si>
  <si>
    <t>Coal (RETIREMENT)</t>
  </si>
  <si>
    <t>2×300 MW coal units retired; Unit 1 retired 2041</t>
  </si>
  <si>
    <t>Siyambalanduwa Solar (100 MW)</t>
  </si>
  <si>
    <t>Southern (Monaragala)</t>
  </si>
  <si>
    <t>Planned / tender</t>
  </si>
  <si>
    <t>GREAT Table 5; Southern zone; 132 kV connection via Siyambalanduwa–Monaragala line</t>
  </si>
  <si>
    <t>Ridiyagama Solar (100 MW, floating/ground)</t>
  </si>
  <si>
    <t>Solar (floating/ground)</t>
  </si>
  <si>
    <t>Floating/Ground PV</t>
  </si>
  <si>
    <t>GREAT Table 5; Ridiyagama reservoir area</t>
  </si>
  <si>
    <t>Valaichenai Solar (100 MW)</t>
  </si>
  <si>
    <t>Eastern</t>
  </si>
  <si>
    <t>2027–2028</t>
  </si>
  <si>
    <t>GREAT Table 5; Eastern zone; AIIB transmission</t>
  </si>
  <si>
    <t>Sampur Phase I (50 MW)</t>
  </si>
  <si>
    <t>Northeastern (Trincomalee)</t>
  </si>
  <si>
    <t>GREAT Table 5; 220 kV Sampur–Kappalthurei line required</t>
  </si>
  <si>
    <t>Sampur Phase II (70 MW)</t>
  </si>
  <si>
    <t>2029–2030</t>
  </si>
  <si>
    <t>GREAT Table 5</t>
  </si>
  <si>
    <t>Trincomalee Solar I (100 MW)</t>
  </si>
  <si>
    <t>GREAT Table 5; AIIB Habarana–Kappalthurei line required</t>
  </si>
  <si>
    <t>Trincomalee Solar II (100 MW)</t>
  </si>
  <si>
    <t>Kilinochchi Solar I (50 MW)</t>
  </si>
  <si>
    <t>Northern (Kilinochchi)</t>
  </si>
  <si>
    <t>GREAT Table 5; Northern zone — 400 kV backbone required</t>
  </si>
  <si>
    <t>Kilinochchi Solar II (100 MW)</t>
  </si>
  <si>
    <t>Mannar Extension Wind (50 MW)</t>
  </si>
  <si>
    <t>Cabinet approval stage</t>
  </si>
  <si>
    <t>GREAT Table 6; 50 MW Mannar sub-region wind tender</t>
  </si>
  <si>
    <t>Mannar Phase II Wind (250 MW)</t>
  </si>
  <si>
    <t>GREAT Table 6; site identified; transmission required</t>
  </si>
  <si>
    <t>Mullikulam Wind (100 MW)</t>
  </si>
  <si>
    <t>Northern (Mannar sub-region)</t>
  </si>
  <si>
    <t>GREAT Table 6; 220 kV Mannar–Mullikulama line required</t>
  </si>
  <si>
    <t>Kalpitiya Wind (120 MW)</t>
  </si>
  <si>
    <t>Northwestern (Puttalam)</t>
  </si>
  <si>
    <t>Various stages</t>
  </si>
  <si>
    <t>GREAT Table 6; Northwestern zone</t>
  </si>
  <si>
    <t>Pooneryn Wind (234 MW)</t>
  </si>
  <si>
    <t>Northern (Kilinochchi sub-region)</t>
  </si>
  <si>
    <t>GREAT Table 6; 220 kV Pooneryn–N Collector line required</t>
  </si>
  <si>
    <t>Veravil Wind (200 MW)</t>
  </si>
  <si>
    <t>GREAT Table 6; N Collector–Veravil transmission required</t>
  </si>
  <si>
    <t>Karachchi Wind (120 MW)</t>
  </si>
  <si>
    <t>GREAT Table 6</t>
  </si>
  <si>
    <t>SRI LANKA — Additional Electricity Sector Data &amp; Statistics</t>
  </si>
  <si>
    <t>Source: CEB Annual Report 2023; LTGEP 2025–2044 (CEB, 2024); GREAT 2025–2030 (CEB/SLSEA, Dec 2024); Transmission Plan 2013–2022 (CEB)</t>
  </si>
  <si>
    <t>Sub-Category / Item</t>
  </si>
  <si>
    <t>Value / Description</t>
  </si>
  <si>
    <t>Unit</t>
  </si>
  <si>
    <t>Year / Period</t>
  </si>
  <si>
    <t>--- INSTALLED CAPACITY SUMMARY (DEC 2023) ---</t>
  </si>
  <si>
    <t>Installed Capacity</t>
  </si>
  <si>
    <t>Total System</t>
  </si>
  <si>
    <t>MW</t>
  </si>
  <si>
    <t>Dec 2023</t>
  </si>
  <si>
    <t>LTGEP 2025–2044 &amp; GREAT 2025–2030</t>
  </si>
  <si>
    <t>Total Renewable</t>
  </si>
  <si>
    <t>3,107</t>
  </si>
  <si>
    <t>LTGEP 2025–2044</t>
  </si>
  <si>
    <t>Total Thermal (non-renewable)</t>
  </si>
  <si>
    <t>2,088</t>
  </si>
  <si>
    <t>CEB Major Hydro (total)</t>
  </si>
  <si>
    <t>1,413</t>
  </si>
  <si>
    <t>LTGEP Table 1.1</t>
  </si>
  <si>
    <t>CEB Wind (Thambapavani)</t>
  </si>
  <si>
    <t>103.5</t>
  </si>
  <si>
    <t>900 (nameplate) / 810 MW derated</t>
  </si>
  <si>
    <t>CEB AR 2023 / LTGEP</t>
  </si>
  <si>
    <t>CEB Oil Thermal</t>
  </si>
  <si>
    <t>~801</t>
  </si>
  <si>
    <t>IPP Wind</t>
  </si>
  <si>
    <t>163</t>
  </si>
  <si>
    <t>138</t>
  </si>
  <si>
    <t>657</t>
  </si>
  <si>
    <t>158</t>
  </si>
  <si>
    <t>IPP Mini Hydro</t>
  </si>
  <si>
    <t>419</t>
  </si>
  <si>
    <t>IPP Biomass / Waste Heat</t>
  </si>
  <si>
    <t>54</t>
  </si>
  <si>
    <t>--- CEB FINANCIAL PERFORMANCE 2023 ---</t>
  </si>
  <si>
    <t>Financial</t>
  </si>
  <si>
    <t>Total Revenue</t>
  </si>
  <si>
    <t>606.6 billion</t>
  </si>
  <si>
    <t>LKR</t>
  </si>
  <si>
    <t>CEB Annual Report 2023</t>
  </si>
  <si>
    <t>Revenue Growth (YoY)</t>
  </si>
  <si>
    <t>97% increase</t>
  </si>
  <si>
    <t>%</t>
  </si>
  <si>
    <t>2023 vs 2022</t>
  </si>
  <si>
    <t>Net Profit</t>
  </si>
  <si>
    <t>61.2 billion</t>
  </si>
  <si>
    <t>CEB Annual Report 2023 — first profit after 7 years</t>
  </si>
  <si>
    <t>Net Profit Growth (YoY)</t>
  </si>
  <si>
    <t>121% increase</t>
  </si>
  <si>
    <t>Total Assets</t>
  </si>
  <si>
    <t>1,204 billion</t>
  </si>
  <si>
    <t>CEB Annual Report 2023 — 12% increase</t>
  </si>
  <si>
    <t>Total Equity</t>
  </si>
  <si>
    <t>498 billion</t>
  </si>
  <si>
    <t>CEB Annual Report 2023 — 60% increase</t>
  </si>
  <si>
    <t>Average Selling Price</t>
  </si>
  <si>
    <t>42.86</t>
  </si>
  <si>
    <t>LKR/kWh</t>
  </si>
  <si>
    <t>Average Generation Cost</t>
  </si>
  <si>
    <t>40.92</t>
  </si>
  <si>
    <t>Exchange Rate (reference)</t>
  </si>
  <si>
    <t>327.6</t>
  </si>
  <si>
    <t>LKR/USD</t>
  </si>
  <si>
    <t>2024</t>
  </si>
  <si>
    <t>LTGEP 2025–2044 investment tables reference rate</t>
  </si>
  <si>
    <t>--- DISTRIBUTION STATISTICS 2023 ---</t>
  </si>
  <si>
    <t>Distribution</t>
  </si>
  <si>
    <t>Total Consumers (CEB + LECO)</t>
  </si>
  <si>
    <t>7,024,763</t>
  </si>
  <si>
    <t>connections</t>
  </si>
  <si>
    <t>New Connections</t>
  </si>
  <si>
    <t>65,306</t>
  </si>
  <si>
    <t>Electricity Sales</t>
  </si>
  <si>
    <t>GWh</t>
  </si>
  <si>
    <t>System Energy Losses</t>
  </si>
  <si>
    <t>Distribution Line Length</t>
  </si>
  <si>
    <t>200,119</t>
  </si>
  <si>
    <t>km</t>
  </si>
  <si>
    <t>Rooftop Solar Connections</t>
  </si>
  <si>
    <t>606,627</t>
  </si>
  <si>
    <t>Rooftop Solar Capacity (CEB AR)</t>
  </si>
  <si>
    <t>652</t>
  </si>
  <si>
    <t>Market Share — Domestic</t>
  </si>
  <si>
    <t>36%</t>
  </si>
  <si>
    <t>GREAT 2025–2030</t>
  </si>
  <si>
    <t>Market Share — Industrial</t>
  </si>
  <si>
    <t>32%</t>
  </si>
  <si>
    <t>Market Share — Commercial</t>
  </si>
  <si>
    <t>30%</t>
  </si>
  <si>
    <t>--- RENEWABLE ENERGY ZONE POTENTIALS (GREAT Table 2) ---</t>
  </si>
  <si>
    <t>RE Zone Potential</t>
  </si>
  <si>
    <t>Northern Zone (Kilinochchi sub-region) — Solar</t>
  </si>
  <si>
    <t>1,700</t>
  </si>
  <si>
    <t>GREAT 2025–2030 Table 2</t>
  </si>
  <si>
    <t>Northern Zone (Kilinochchi sub-region) — Onshore Wind</t>
  </si>
  <si>
    <t>1,400</t>
  </si>
  <si>
    <t>Northern Zone (Mannar sub-region) — Onshore Wind</t>
  </si>
  <si>
    <t>1,000+</t>
  </si>
  <si>
    <t>GREAT Annex 1</t>
  </si>
  <si>
    <t>Northern Zone (Mannar sub-region) — Offshore Wind</t>
  </si>
  <si>
    <t>Northern Zone (Mannar sub-region) — Solar</t>
  </si>
  <si>
    <t>200+</t>
  </si>
  <si>
    <t>Northeastern Zone — Solar (ground)</t>
  </si>
  <si>
    <t>1,800</t>
  </si>
  <si>
    <t>GREAT Table 2</t>
  </si>
  <si>
    <t>Northeastern Zone — Wind</t>
  </si>
  <si>
    <t>40</t>
  </si>
  <si>
    <t>Northeastern Zone — Floating Solar</t>
  </si>
  <si>
    <t>10</t>
  </si>
  <si>
    <t>Northwestern Zone — Solar</t>
  </si>
  <si>
    <t>50</t>
  </si>
  <si>
    <t>Northwestern Zone — Onshore Wind</t>
  </si>
  <si>
    <t>200</t>
  </si>
  <si>
    <t>Northwestern Zone — Biomass</t>
  </si>
  <si>
    <t>North Central Zone — Solar</t>
  </si>
  <si>
    <t>North Central Zone — Wind</t>
  </si>
  <si>
    <t>620</t>
  </si>
  <si>
    <t>North Central Zone — Biomass</t>
  </si>
  <si>
    <t>Eastern Zone — Solar</t>
  </si>
  <si>
    <t>1,200</t>
  </si>
  <si>
    <t>Eastern Zone — Wind</t>
  </si>
  <si>
    <t>30</t>
  </si>
  <si>
    <t>Southern Zone — Solar</t>
  </si>
  <si>
    <t>Southern Zone — Wind</t>
  </si>
  <si>
    <t>100</t>
  </si>
  <si>
    <t>Southern Zone — Floating Solar</t>
  </si>
  <si>
    <t>Southern Zone — Biomass</t>
  </si>
  <si>
    <t>1,000</t>
  </si>
  <si>
    <t>Central Zone — Mini Hydro</t>
  </si>
  <si>
    <t>700</t>
  </si>
  <si>
    <t>GREAT Table 2 / LTGEP</t>
  </si>
  <si>
    <t>Central Zone — Major Hydro (additional)</t>
  </si>
  <si>
    <t>300</t>
  </si>
  <si>
    <t>TOTAL SYSTEM POTENTIAL</t>
  </si>
  <si>
    <t>~13,000</t>
  </si>
  <si>
    <t>GREAT Table 2 aggregate</t>
  </si>
  <si>
    <t>--- POLICY &amp; TARGETS ---</t>
  </si>
  <si>
    <t>Policy</t>
  </si>
  <si>
    <t>Renewable Energy Target 2030</t>
  </si>
  <si>
    <t>70% of electricity from RE</t>
  </si>
  <si>
    <t>Target by 2030</t>
  </si>
  <si>
    <t>National Energy Policy; GREAT 2025–2030</t>
  </si>
  <si>
    <t>RE Share maintained post-2030</t>
  </si>
  <si>
    <t>70%+ through 2044</t>
  </si>
  <si>
    <t>2030–2044</t>
  </si>
  <si>
    <t>Average electricity demand growth (2019–2023)</t>
  </si>
  <si>
    <t>-0.6% (negative)</t>
  </si>
  <si>
    <t>% p.a.</t>
  </si>
  <si>
    <t>2019–2023</t>
  </si>
  <si>
    <t>GREAT 2025–2030 — impact of COVID-19, economic recession</t>
  </si>
  <si>
    <t>LTGEP planning horizon</t>
  </si>
  <si>
    <t>2025–2044 (20 years)</t>
  </si>
  <si>
    <t>years</t>
  </si>
  <si>
    <t>LTGEP 2025–2044 (CEB)</t>
  </si>
  <si>
    <t>Max. single unit/interconnection limit</t>
  </si>
  <si>
    <t>25% of demand</t>
  </si>
  <si>
    <t>% of system demand</t>
  </si>
  <si>
    <t>Planning criterion</t>
  </si>
  <si>
    <t>SNSP (non-synchronous penetration) limit</t>
  </si>
  <si>
    <t>75%</t>
  </si>
  <si>
    <t>Spinning reserve criterion</t>
  </si>
  <si>
    <t>5% of demand + Dynamic Probabilistic Reserve</t>
  </si>
  <si>
    <t>--- TRANSMISSION PLAN INVESTMENT (2013–2022) ---</t>
  </si>
  <si>
    <t>Investment</t>
  </si>
  <si>
    <t>Committed Transmission Expansions</t>
  </si>
  <si>
    <t>84 billion</t>
  </si>
  <si>
    <t>2013–2022 plan</t>
  </si>
  <si>
    <t>Committed Power Plant Connection works</t>
  </si>
  <si>
    <t>9 billion</t>
  </si>
  <si>
    <t>Funds required — Transmission expansions</t>
  </si>
  <si>
    <t>80 billion</t>
  </si>
  <si>
    <t>Funds required — Power Plant Connections</t>
  </si>
  <si>
    <t>37 billion</t>
  </si>
  <si>
    <t>Total Investment (Transmission Plan 2013–2022)</t>
  </si>
  <si>
    <t>~210 billion</t>
  </si>
  <si>
    <t>--- INDIA–SRI LANKA HVDC DETAILS ---</t>
  </si>
  <si>
    <t>Interconnection</t>
  </si>
  <si>
    <t>VSC-based HVDC ±320 kV, 2×500 MW</t>
  </si>
  <si>
    <t>Planned 2039</t>
  </si>
  <si>
    <t>LTGEP Ch.13</t>
  </si>
  <si>
    <t>Total Capacity</t>
  </si>
  <si>
    <t>2×500 MW = 1,000 MW</t>
  </si>
  <si>
    <t>Phase 1 Capacity</t>
  </si>
  <si>
    <t>500 MW</t>
  </si>
  <si>
    <t>Cable type</t>
  </si>
  <si>
    <t>Undersea HVDC cable (Palk Strait)</t>
  </si>
  <si>
    <t>Estimated Total Cost</t>
  </si>
  <si>
    <t>1,225 million</t>
  </si>
  <si>
    <t>USD</t>
  </si>
  <si>
    <t>Estimate</t>
  </si>
  <si>
    <t>Trading Option 1 — Stand-alone Hybrid</t>
  </si>
  <si>
    <t>4.06 UScts/kWh landed cost</t>
  </si>
  <si>
    <t>UScts/kWh</t>
  </si>
  <si>
    <t>2024 analysis</t>
  </si>
  <si>
    <t>Trading Option 2 — Assured Peak Power</t>
  </si>
  <si>
    <t>8.76 UScts/kWh (peak) / 4.31 UScts/kWh (off-peak)</t>
  </si>
  <si>
    <t>Trading Option 3 — Round-the-Clock (RTC)</t>
  </si>
  <si>
    <t>4.68 UScts/kWh</t>
  </si>
  <si>
    <t>Trading Option 4 — Day Ahead Market (DAM)</t>
  </si>
  <si>
    <t>Variable hourly pricing (India exchange)</t>
  </si>
  <si>
    <t>--- GREAT 2025–2030 DEMAND IMPACT ---</t>
  </si>
  <si>
    <t>Demand Comparison</t>
  </si>
  <si>
    <t>LTGEP 2025–2044 vs LTGEP 2023–2042 lag</t>
  </si>
  <si>
    <t>~4 year lag in demand — reflects 2022 economic recession impact</t>
  </si>
  <si>
    <t>2024 comparison</t>
  </si>
  <si>
    <t>GREAT 2025–2030 p.14</t>
  </si>
  <si>
    <t>Solar capacity reduction (2030) vs LTGEP 2023</t>
  </si>
  <si>
    <t>1,227 MW reduction in solar 2030 target</t>
  </si>
  <si>
    <t>2024 vs 2022 plan</t>
  </si>
  <si>
    <t>Wind capacity reduction (2030) vs LTGEP 2023</t>
  </si>
  <si>
    <t>596 MW reduction in wind 2030 target</t>
  </si>
  <si>
    <t>Rooftop solar installed (end 2024)</t>
  </si>
  <si>
    <t>Over 1,350 MW</t>
  </si>
  <si>
    <t>Dec 2024</t>
  </si>
  <si>
    <t>GREAT 2025–2030 p.16 — challenge for grid stability</t>
  </si>
  <si>
    <t>Average 5yr demand growth (2019–2023)</t>
  </si>
  <si>
    <t>-0.6% per annum</t>
  </si>
  <si>
    <t>--- STORAGE PLAN SUMMARY (GREAT Table 7) ---</t>
  </si>
  <si>
    <t>Storage</t>
  </si>
  <si>
    <t>BESS 1: Kollonawa 100 MW / 100 MWh</t>
  </si>
  <si>
    <t>Contract award 2025, Commissioning Dec 2026</t>
  </si>
  <si>
    <t>2025–2026</t>
  </si>
  <si>
    <t>GREAT Table 7</t>
  </si>
  <si>
    <t>BESS 2: Southern Region 100 MW / 400 MWh</t>
  </si>
  <si>
    <t>Commissioning Jan 2028; financial arrangement needed</t>
  </si>
  <si>
    <t>BESS 3: 100 MW / 400 MWh (location TBD)</t>
  </si>
  <si>
    <t>Commissioning Jan 2029; financial arrangement needed</t>
  </si>
  <si>
    <t>BESS 4: Western Region 50 MW / 50 MWh</t>
  </si>
  <si>
    <t>Commissioning Jan 2030; financial arrangement needed</t>
  </si>
  <si>
    <t>BESS 5: 100 MW / 400 MWh (location TBD)</t>
  </si>
  <si>
    <t>Commissioning Jan 2031; financial arrangement needed</t>
  </si>
  <si>
    <t>BESS 6: 200 MW / 800 MWh</t>
  </si>
  <si>
    <t>Commissioning 2032; financial arrangement needed</t>
  </si>
  <si>
    <t>Total BESS capacity (plan 2025–2032)</t>
  </si>
  <si>
    <t>650 MW / 1,850 MWh</t>
  </si>
  <si>
    <t>MW / MWh</t>
  </si>
  <si>
    <t>2025–2032</t>
  </si>
  <si>
    <t>GREAT Table 7 aggregate</t>
  </si>
  <si>
    <t>PSPP Maha Oya 3×200 MW = 600 MW</t>
  </si>
  <si>
    <t>Contract award 2028, Commissioning Jan 2034; NPD approval &amp; EIA submitted</t>
  </si>
  <si>
    <t>2028–2034</t>
  </si>
  <si>
    <t>GREAT Table 7 &amp; Annex 4</t>
  </si>
  <si>
    <t>--- SOLAR PROJECT CATEGORIES (GREAT Table 1) ---</t>
  </si>
  <si>
    <t>Solar Category</t>
  </si>
  <si>
    <t>Large-scale (&gt;10 MW)</t>
  </si>
  <si>
    <t>Grid-connected; dispatchable; full visibility for system operator; PPA per project</t>
  </si>
  <si>
    <t>GREAT Table 1</t>
  </si>
  <si>
    <t>Small-scale / SPPA (1–10 MW)</t>
  </si>
  <si>
    <t>Distribution-connected (33 kV); Feed-in Tariff; partially visible; limited ancillary services</t>
  </si>
  <si>
    <t>Rooftop / Distributed PV</t>
  </si>
  <si>
    <t>LV network (230/400V); Net Metering / Net Accounting / Net Plus schemes; NOT visible to system operator</t>
  </si>
  <si>
    <t>--- DIGITALIZATION INITIATIVES (GREAT) ---</t>
  </si>
  <si>
    <t>Digitalization</t>
  </si>
  <si>
    <t>Renewable Energy Control Desk (NSCC)</t>
  </si>
  <si>
    <t>Separate desk at National System Control Centre; full visibility and dispatch of &gt;10 MW projects; funding secured; June 2026</t>
  </si>
  <si>
    <t>GREAT p.17</t>
  </si>
  <si>
    <t>Distribution Control Centres (DCCs)</t>
  </si>
  <si>
    <t>High-density rooftop solar areas; aggregate visibility for NSCC; digitalized smart meter communication</t>
  </si>
  <si>
    <t>2025–2028</t>
  </si>
  <si>
    <t>National RE Forecasting System</t>
  </si>
  <si>
    <t>Day-ahead, intraday, intra-hour wind and solar forecasting; weather parameter integration</t>
  </si>
  <si>
    <t>Time-of-Use Tariff (future distributed gen)</t>
  </si>
  <si>
    <t>Mandatory ToU for future DG; restrict daytime feed-in; encourage EV daytime charging</t>
  </si>
  <si>
    <t>Policy recommendation</t>
  </si>
  <si>
    <t>GREAT p.18</t>
  </si>
  <si>
    <t>Synchronous Condensers (3 units)</t>
  </si>
  <si>
    <t>70 MVA at Mannar + 70 MVA at New Habarana + GT-7 conversion at Kelanitissa; grid inertia support</t>
  </si>
  <si>
    <t>--- LTGEP BASE CASE SCENARIO DETAILS ---</t>
  </si>
  <si>
    <t>LTGEP</t>
  </si>
  <si>
    <t>Planning scenario used</t>
  </si>
  <si>
    <t>Base Case Scenario 3 (of 4 scenarios)</t>
  </si>
  <si>
    <t>Fuel type sequence</t>
  </si>
  <si>
    <t>NG CCY → Solar+Wind → BESS → PSPP → NG/H2 GT → Nuclear</t>
  </si>
  <si>
    <t>2025–2044</t>
  </si>
  <si>
    <t>20-year avg energy demand growth</t>
  </si>
  <si>
    <t>5.0% per annum</t>
  </si>
  <si>
    <t>20-year avg peak demand growth</t>
  </si>
  <si>
    <t>5.1% per annum</t>
  </si>
  <si>
    <t>Exploitable major hydro assessment</t>
  </si>
  <si>
    <t>Almost fully exhausted — no major new hydro expected</t>
  </si>
  <si>
    <t>2024 assessment</t>
  </si>
  <si>
    <t>LTGEP 2025–2044 &amp; GREAT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</si>
</sst>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404040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0"/>
      <name val="Arial"/>
      <charset val="1"/>
    </font>
    <font>
      <b/>
      <i/>
      <sz val="9"/>
      <name val="Arial"/>
      <charset val="1"/>
    </font>
    <font>
      <b/>
      <sz val="10"/>
      <color rgb="FF006400"/>
      <name val="Arial"/>
      <charset val="1"/>
    </font>
    <font>
      <b/>
      <sz val="9"/>
      <name val="Arial"/>
      <charset val="1"/>
    </font>
    <font>
      <i/>
      <sz val="9"/>
      <color rgb="FF808080"/>
      <name val="Arial"/>
      <charset val="1"/>
    </font>
    <font>
      <b/>
      <i/>
      <sz val="11"/>
      <color rgb="FF0064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06400"/>
        <bgColor rgb="FF228B22"/>
      </patternFill>
    </fill>
    <fill>
      <patternFill patternType="solid">
        <fgColor rgb="FFF2F2F2"/>
        <bgColor rgb="FFF0F7F0"/>
      </patternFill>
    </fill>
    <fill>
      <patternFill patternType="solid">
        <fgColor rgb="FF228B22"/>
        <bgColor rgb="FF006400"/>
      </patternFill>
    </fill>
    <fill>
      <patternFill patternType="solid">
        <fgColor rgb="FFF0F7F0"/>
        <bgColor rgb="FFF2F2F2"/>
      </patternFill>
    </fill>
    <fill>
      <patternFill patternType="solid">
        <fgColor rgb="FFD5E8D4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8" fillId="0" borderId="0" xfId="0" applyFont="1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5" fillId="6" borderId="0" xfId="0" applyFont="1" applyFill="1"/>
    <xf numFmtId="0" fontId="6" fillId="5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9" fillId="0" borderId="0" xfId="0" applyFont="1" applyAlignment="1">
      <alignment vertical="center" wrapText="1"/>
    </xf>
    <xf numFmtId="0" fontId="5" fillId="0" borderId="0" xfId="0" applyFont="1"/>
    <xf numFmtId="0" fontId="10" fillId="0" borderId="0" xfId="0" applyFont="1" applyAlignment="1">
      <alignment vertical="center" wrapText="1"/>
    </xf>
    <xf numFmtId="0" fontId="10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7F0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28B22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zoomScaleNormal="100" workbookViewId="0">
      <pane ySplit="3" topLeftCell="A25" activePane="bottomLeft" state="frozen"/>
      <selection pane="bottomLeft" activeCell="A4" sqref="A4:A42"/>
    </sheetView>
  </sheetViews>
  <sheetFormatPr baseColWidth="10" defaultColWidth="8.6640625" defaultRowHeight="14.4" x14ac:dyDescent="0.3"/>
  <cols>
    <col min="1" max="1" width="28" customWidth="1"/>
    <col min="2" max="2" width="18" customWidth="1"/>
    <col min="3" max="3" width="14" customWidth="1"/>
    <col min="4" max="4" width="12" customWidth="1"/>
    <col min="5" max="5" width="10" customWidth="1"/>
    <col min="6" max="7" width="14" customWidth="1"/>
    <col min="8" max="8" width="20" customWidth="1"/>
    <col min="9" max="9" width="12" customWidth="1"/>
    <col min="10" max="10" width="35" customWidth="1"/>
  </cols>
  <sheetData>
    <row r="1" spans="1:10" ht="21.75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30" customHeigh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ht="30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0" ht="15.75" customHeight="1" x14ac:dyDescent="0.3">
      <c r="A4" s="6" t="s">
        <v>12</v>
      </c>
      <c r="B4" s="6" t="s">
        <v>13</v>
      </c>
      <c r="C4" s="6" t="s">
        <v>14</v>
      </c>
      <c r="D4" s="6" t="s">
        <v>15</v>
      </c>
      <c r="E4" s="6" t="s">
        <v>15</v>
      </c>
      <c r="F4" s="6">
        <v>210</v>
      </c>
      <c r="G4" s="6">
        <v>210</v>
      </c>
      <c r="H4" s="6" t="s">
        <v>16</v>
      </c>
      <c r="I4" s="6" t="s">
        <v>17</v>
      </c>
      <c r="J4" s="6" t="s">
        <v>18</v>
      </c>
    </row>
    <row r="5" spans="1:10" ht="15.75" customHeight="1" x14ac:dyDescent="0.3">
      <c r="A5" s="7" t="s">
        <v>19</v>
      </c>
      <c r="B5" s="7" t="s">
        <v>13</v>
      </c>
      <c r="C5" s="7" t="s">
        <v>14</v>
      </c>
      <c r="D5" s="7" t="s">
        <v>15</v>
      </c>
      <c r="E5" s="7" t="s">
        <v>15</v>
      </c>
      <c r="F5" s="7">
        <v>201</v>
      </c>
      <c r="G5" s="7">
        <v>201</v>
      </c>
      <c r="H5" s="7" t="s">
        <v>16</v>
      </c>
      <c r="I5" s="7" t="s">
        <v>17</v>
      </c>
      <c r="J5" s="7" t="s">
        <v>18</v>
      </c>
    </row>
    <row r="6" spans="1:10" ht="15.75" customHeight="1" x14ac:dyDescent="0.3">
      <c r="A6" s="6" t="s">
        <v>20</v>
      </c>
      <c r="B6" s="6" t="s">
        <v>13</v>
      </c>
      <c r="C6" s="6" t="s">
        <v>14</v>
      </c>
      <c r="D6" s="6" t="s">
        <v>15</v>
      </c>
      <c r="E6" s="6" t="s">
        <v>15</v>
      </c>
      <c r="F6" s="6">
        <v>150</v>
      </c>
      <c r="G6" s="6">
        <v>150</v>
      </c>
      <c r="H6" s="6" t="s">
        <v>16</v>
      </c>
      <c r="I6" s="6" t="s">
        <v>17</v>
      </c>
      <c r="J6" s="6" t="s">
        <v>18</v>
      </c>
    </row>
    <row r="7" spans="1:10" ht="15.75" customHeight="1" x14ac:dyDescent="0.3">
      <c r="A7" s="7" t="s">
        <v>21</v>
      </c>
      <c r="B7" s="7" t="s">
        <v>13</v>
      </c>
      <c r="C7" s="7" t="s">
        <v>14</v>
      </c>
      <c r="D7" s="7" t="s">
        <v>15</v>
      </c>
      <c r="E7" s="7" t="s">
        <v>15</v>
      </c>
      <c r="F7" s="7">
        <v>122.6</v>
      </c>
      <c r="G7" s="7">
        <v>122.6</v>
      </c>
      <c r="H7" s="7" t="s">
        <v>22</v>
      </c>
      <c r="I7" s="7" t="s">
        <v>17</v>
      </c>
      <c r="J7" s="7" t="s">
        <v>18</v>
      </c>
    </row>
    <row r="8" spans="1:10" ht="15.75" customHeight="1" x14ac:dyDescent="0.3">
      <c r="A8" s="6" t="s">
        <v>23</v>
      </c>
      <c r="B8" s="6" t="s">
        <v>13</v>
      </c>
      <c r="C8" s="6" t="s">
        <v>14</v>
      </c>
      <c r="D8" s="6" t="s">
        <v>15</v>
      </c>
      <c r="E8" s="6" t="s">
        <v>15</v>
      </c>
      <c r="F8" s="6">
        <v>50</v>
      </c>
      <c r="G8" s="6">
        <v>50</v>
      </c>
      <c r="H8" s="6" t="s">
        <v>24</v>
      </c>
      <c r="I8" s="6" t="s">
        <v>17</v>
      </c>
      <c r="J8" s="6" t="s">
        <v>18</v>
      </c>
    </row>
    <row r="9" spans="1:10" ht="15.75" customHeight="1" x14ac:dyDescent="0.3">
      <c r="A9" s="7" t="s">
        <v>25</v>
      </c>
      <c r="B9" s="7" t="s">
        <v>13</v>
      </c>
      <c r="C9" s="7" t="s">
        <v>14</v>
      </c>
      <c r="D9" s="7" t="s">
        <v>15</v>
      </c>
      <c r="E9" s="7" t="s">
        <v>15</v>
      </c>
      <c r="F9" s="7">
        <v>40</v>
      </c>
      <c r="G9" s="7">
        <v>40</v>
      </c>
      <c r="H9" s="7" t="s">
        <v>24</v>
      </c>
      <c r="I9" s="7" t="s">
        <v>17</v>
      </c>
      <c r="J9" s="7" t="s">
        <v>18</v>
      </c>
    </row>
    <row r="10" spans="1:10" ht="15.75" customHeight="1" x14ac:dyDescent="0.3">
      <c r="A10" s="6" t="s">
        <v>26</v>
      </c>
      <c r="B10" s="6" t="s">
        <v>13</v>
      </c>
      <c r="C10" s="6" t="s">
        <v>14</v>
      </c>
      <c r="D10" s="6" t="s">
        <v>15</v>
      </c>
      <c r="E10" s="6" t="s">
        <v>15</v>
      </c>
      <c r="F10" s="6">
        <v>40</v>
      </c>
      <c r="G10" s="6">
        <v>40</v>
      </c>
      <c r="H10" s="6" t="s">
        <v>27</v>
      </c>
      <c r="I10" s="6" t="s">
        <v>17</v>
      </c>
      <c r="J10" s="6" t="s">
        <v>18</v>
      </c>
    </row>
    <row r="11" spans="1:10" ht="15.75" customHeight="1" x14ac:dyDescent="0.3">
      <c r="A11" s="7" t="s">
        <v>28</v>
      </c>
      <c r="B11" s="7" t="s">
        <v>13</v>
      </c>
      <c r="C11" s="7" t="s">
        <v>14</v>
      </c>
      <c r="D11" s="7" t="s">
        <v>15</v>
      </c>
      <c r="E11" s="7" t="s">
        <v>15</v>
      </c>
      <c r="F11" s="7">
        <v>3.2</v>
      </c>
      <c r="G11" s="7">
        <v>3.2</v>
      </c>
      <c r="H11" s="7" t="s">
        <v>24</v>
      </c>
      <c r="I11" s="7" t="s">
        <v>17</v>
      </c>
      <c r="J11" s="7" t="s">
        <v>18</v>
      </c>
    </row>
    <row r="12" spans="1:10" ht="15.75" customHeight="1" x14ac:dyDescent="0.3">
      <c r="A12" s="6" t="s">
        <v>29</v>
      </c>
      <c r="B12" s="6" t="s">
        <v>30</v>
      </c>
      <c r="C12" s="6" t="s">
        <v>14</v>
      </c>
      <c r="D12" s="6" t="s">
        <v>15</v>
      </c>
      <c r="E12" s="6" t="s">
        <v>15</v>
      </c>
      <c r="F12" s="6">
        <v>122</v>
      </c>
      <c r="G12" s="6">
        <v>122</v>
      </c>
      <c r="H12" s="6" t="s">
        <v>31</v>
      </c>
      <c r="I12" s="6" t="s">
        <v>17</v>
      </c>
      <c r="J12" s="6" t="s">
        <v>32</v>
      </c>
    </row>
    <row r="13" spans="1:10" ht="15.75" customHeight="1" x14ac:dyDescent="0.3">
      <c r="A13" s="7" t="s">
        <v>33</v>
      </c>
      <c r="B13" s="7" t="s">
        <v>34</v>
      </c>
      <c r="C13" s="7" t="s">
        <v>14</v>
      </c>
      <c r="D13" s="7" t="s">
        <v>15</v>
      </c>
      <c r="E13" s="7" t="s">
        <v>15</v>
      </c>
      <c r="F13" s="7">
        <v>120</v>
      </c>
      <c r="G13" s="7">
        <v>120</v>
      </c>
      <c r="H13" s="7" t="s">
        <v>22</v>
      </c>
      <c r="I13" s="7" t="s">
        <v>17</v>
      </c>
      <c r="J13" s="7" t="s">
        <v>35</v>
      </c>
    </row>
    <row r="14" spans="1:10" ht="15.75" customHeight="1" x14ac:dyDescent="0.3">
      <c r="A14" s="6" t="s">
        <v>36</v>
      </c>
      <c r="B14" s="6" t="s">
        <v>34</v>
      </c>
      <c r="C14" s="6" t="s">
        <v>14</v>
      </c>
      <c r="D14" s="6" t="s">
        <v>15</v>
      </c>
      <c r="E14" s="6" t="s">
        <v>15</v>
      </c>
      <c r="F14" s="6">
        <v>75</v>
      </c>
      <c r="G14" s="6">
        <v>75</v>
      </c>
      <c r="H14" s="6" t="s">
        <v>24</v>
      </c>
      <c r="I14" s="6" t="s">
        <v>17</v>
      </c>
      <c r="J14" s="6" t="s">
        <v>35</v>
      </c>
    </row>
    <row r="15" spans="1:10" ht="15.75" customHeight="1" x14ac:dyDescent="0.3">
      <c r="A15" s="7" t="s">
        <v>37</v>
      </c>
      <c r="B15" s="7" t="s">
        <v>30</v>
      </c>
      <c r="C15" s="7" t="s">
        <v>14</v>
      </c>
      <c r="D15" s="7" t="s">
        <v>15</v>
      </c>
      <c r="E15" s="7" t="s">
        <v>15</v>
      </c>
      <c r="F15" s="7">
        <v>8.8000000000000007</v>
      </c>
      <c r="G15" s="7">
        <v>8.8000000000000007</v>
      </c>
      <c r="H15" s="7" t="s">
        <v>22</v>
      </c>
      <c r="I15" s="7" t="s">
        <v>17</v>
      </c>
      <c r="J15" s="7" t="s">
        <v>35</v>
      </c>
    </row>
    <row r="16" spans="1:10" ht="15.75" customHeight="1" x14ac:dyDescent="0.3">
      <c r="A16" s="6" t="s">
        <v>38</v>
      </c>
      <c r="B16" s="6" t="s">
        <v>34</v>
      </c>
      <c r="C16" s="6" t="s">
        <v>14</v>
      </c>
      <c r="D16" s="6" t="s">
        <v>15</v>
      </c>
      <c r="E16" s="6" t="s">
        <v>15</v>
      </c>
      <c r="F16" s="6">
        <v>4</v>
      </c>
      <c r="G16" s="6">
        <v>4</v>
      </c>
      <c r="H16" s="6" t="s">
        <v>22</v>
      </c>
      <c r="I16" s="6" t="s">
        <v>17</v>
      </c>
      <c r="J16" s="6" t="s">
        <v>35</v>
      </c>
    </row>
    <row r="17" spans="1:10" ht="15.75" customHeight="1" x14ac:dyDescent="0.3">
      <c r="A17" s="7" t="s">
        <v>39</v>
      </c>
      <c r="B17" s="7" t="s">
        <v>40</v>
      </c>
      <c r="C17" s="7" t="s">
        <v>14</v>
      </c>
      <c r="D17" s="7" t="s">
        <v>15</v>
      </c>
      <c r="E17" s="7" t="s">
        <v>15</v>
      </c>
      <c r="F17" s="7">
        <v>153.80000000000001</v>
      </c>
      <c r="G17" s="7">
        <v>153.80000000000001</v>
      </c>
      <c r="H17" s="7" t="s">
        <v>41</v>
      </c>
      <c r="I17" s="7" t="s">
        <v>17</v>
      </c>
      <c r="J17" s="7" t="s">
        <v>42</v>
      </c>
    </row>
    <row r="18" spans="1:10" ht="15.75" customHeight="1" x14ac:dyDescent="0.3">
      <c r="A18" s="6" t="s">
        <v>43</v>
      </c>
      <c r="B18" s="6" t="s">
        <v>40</v>
      </c>
      <c r="C18" s="6" t="s">
        <v>14</v>
      </c>
      <c r="D18" s="6" t="s">
        <v>15</v>
      </c>
      <c r="E18" s="6" t="s">
        <v>15</v>
      </c>
      <c r="F18" s="6">
        <v>90</v>
      </c>
      <c r="G18" s="6">
        <v>90</v>
      </c>
      <c r="H18" s="6" t="s">
        <v>22</v>
      </c>
      <c r="I18" s="6" t="s">
        <v>17</v>
      </c>
      <c r="J18" s="6" t="s">
        <v>42</v>
      </c>
    </row>
    <row r="19" spans="1:10" ht="15.75" customHeight="1" x14ac:dyDescent="0.3">
      <c r="A19" s="7" t="s">
        <v>44</v>
      </c>
      <c r="B19" s="7" t="s">
        <v>40</v>
      </c>
      <c r="C19" s="7" t="s">
        <v>14</v>
      </c>
      <c r="D19" s="7" t="s">
        <v>15</v>
      </c>
      <c r="E19" s="7" t="s">
        <v>15</v>
      </c>
      <c r="F19" s="7">
        <v>60</v>
      </c>
      <c r="G19" s="7">
        <v>60</v>
      </c>
      <c r="H19" s="7" t="s">
        <v>45</v>
      </c>
      <c r="I19" s="7" t="s">
        <v>17</v>
      </c>
      <c r="J19" s="7" t="s">
        <v>42</v>
      </c>
    </row>
    <row r="20" spans="1:10" ht="15.75" customHeight="1" x14ac:dyDescent="0.3">
      <c r="A20" s="6" t="s">
        <v>46</v>
      </c>
      <c r="B20" s="6" t="s">
        <v>40</v>
      </c>
      <c r="C20" s="6" t="s">
        <v>14</v>
      </c>
      <c r="D20" s="6" t="s">
        <v>15</v>
      </c>
      <c r="E20" s="6" t="s">
        <v>15</v>
      </c>
      <c r="F20" s="6">
        <v>50</v>
      </c>
      <c r="G20" s="6">
        <v>50</v>
      </c>
      <c r="H20" s="6" t="s">
        <v>45</v>
      </c>
      <c r="I20" s="6" t="s">
        <v>17</v>
      </c>
      <c r="J20" s="6" t="s">
        <v>42</v>
      </c>
    </row>
    <row r="21" spans="1:10" ht="15.75" customHeight="1" x14ac:dyDescent="0.3">
      <c r="A21" s="7" t="s">
        <v>47</v>
      </c>
      <c r="B21" s="7" t="s">
        <v>40</v>
      </c>
      <c r="C21" s="7" t="s">
        <v>14</v>
      </c>
      <c r="D21" s="7" t="s">
        <v>15</v>
      </c>
      <c r="E21" s="7" t="s">
        <v>15</v>
      </c>
      <c r="F21" s="7">
        <v>35</v>
      </c>
      <c r="G21" s="7">
        <v>35</v>
      </c>
      <c r="H21" s="7" t="s">
        <v>24</v>
      </c>
      <c r="I21" s="7" t="s">
        <v>17</v>
      </c>
      <c r="J21" s="7" t="s">
        <v>42</v>
      </c>
    </row>
    <row r="22" spans="1:10" ht="15.75" customHeight="1" x14ac:dyDescent="0.3">
      <c r="A22" s="6" t="s">
        <v>48</v>
      </c>
      <c r="B22" s="6" t="s">
        <v>49</v>
      </c>
      <c r="C22" s="6" t="s">
        <v>50</v>
      </c>
      <c r="D22" s="6" t="s">
        <v>15</v>
      </c>
      <c r="E22" s="6" t="s">
        <v>15</v>
      </c>
      <c r="F22" s="6">
        <v>300</v>
      </c>
      <c r="G22" s="6">
        <v>270</v>
      </c>
      <c r="H22" s="6" t="s">
        <v>51</v>
      </c>
      <c r="I22" s="6" t="s">
        <v>17</v>
      </c>
      <c r="J22" s="6" t="s">
        <v>52</v>
      </c>
    </row>
    <row r="23" spans="1:10" ht="15.75" customHeight="1" x14ac:dyDescent="0.3">
      <c r="A23" s="7" t="s">
        <v>53</v>
      </c>
      <c r="B23" s="7" t="s">
        <v>49</v>
      </c>
      <c r="C23" s="7" t="s">
        <v>50</v>
      </c>
      <c r="D23" s="7" t="s">
        <v>15</v>
      </c>
      <c r="E23" s="7" t="s">
        <v>15</v>
      </c>
      <c r="F23" s="7">
        <v>300</v>
      </c>
      <c r="G23" s="7">
        <v>270</v>
      </c>
      <c r="H23" s="7" t="s">
        <v>51</v>
      </c>
      <c r="I23" s="7" t="s">
        <v>17</v>
      </c>
      <c r="J23" s="7" t="s">
        <v>54</v>
      </c>
    </row>
    <row r="24" spans="1:10" ht="15.75" customHeight="1" x14ac:dyDescent="0.3">
      <c r="A24" s="6" t="s">
        <v>55</v>
      </c>
      <c r="B24" s="6" t="s">
        <v>49</v>
      </c>
      <c r="C24" s="6" t="s">
        <v>50</v>
      </c>
      <c r="D24" s="6" t="s">
        <v>15</v>
      </c>
      <c r="E24" s="6" t="s">
        <v>15</v>
      </c>
      <c r="F24" s="6">
        <v>300</v>
      </c>
      <c r="G24" s="6">
        <v>270</v>
      </c>
      <c r="H24" s="6" t="s">
        <v>51</v>
      </c>
      <c r="I24" s="6" t="s">
        <v>17</v>
      </c>
      <c r="J24" s="6" t="s">
        <v>56</v>
      </c>
    </row>
    <row r="25" spans="1:10" ht="15.75" customHeight="1" x14ac:dyDescent="0.3">
      <c r="A25" s="7" t="s">
        <v>57</v>
      </c>
      <c r="B25" s="7" t="s">
        <v>58</v>
      </c>
      <c r="C25" s="7" t="s">
        <v>59</v>
      </c>
      <c r="D25" s="7" t="s">
        <v>15</v>
      </c>
      <c r="E25" s="7" t="s">
        <v>15</v>
      </c>
      <c r="F25" s="7">
        <v>115</v>
      </c>
      <c r="G25" s="7">
        <v>115</v>
      </c>
      <c r="H25" s="7" t="s">
        <v>60</v>
      </c>
      <c r="I25" s="7" t="s">
        <v>17</v>
      </c>
      <c r="J25" s="7" t="s">
        <v>61</v>
      </c>
    </row>
    <row r="26" spans="1:10" ht="15.75" customHeight="1" x14ac:dyDescent="0.3">
      <c r="A26" s="6" t="s">
        <v>62</v>
      </c>
      <c r="B26" s="6" t="s">
        <v>58</v>
      </c>
      <c r="C26" s="6" t="s">
        <v>59</v>
      </c>
      <c r="D26" s="6" t="s">
        <v>15</v>
      </c>
      <c r="E26" s="6" t="s">
        <v>15</v>
      </c>
      <c r="F26" s="6">
        <v>101</v>
      </c>
      <c r="G26" s="6">
        <v>101</v>
      </c>
      <c r="H26" s="6" t="s">
        <v>63</v>
      </c>
      <c r="I26" s="6" t="s">
        <v>17</v>
      </c>
      <c r="J26" s="6" t="s">
        <v>64</v>
      </c>
    </row>
    <row r="27" spans="1:10" ht="15.75" customHeight="1" x14ac:dyDescent="0.3">
      <c r="A27" s="7" t="s">
        <v>65</v>
      </c>
      <c r="B27" s="7" t="s">
        <v>58</v>
      </c>
      <c r="C27" s="7" t="s">
        <v>59</v>
      </c>
      <c r="D27" s="7" t="s">
        <v>15</v>
      </c>
      <c r="E27" s="7" t="s">
        <v>15</v>
      </c>
      <c r="F27" s="7">
        <v>54</v>
      </c>
      <c r="G27" s="7">
        <v>54</v>
      </c>
      <c r="H27" s="7" t="s">
        <v>66</v>
      </c>
      <c r="I27" s="7" t="s">
        <v>17</v>
      </c>
      <c r="J27" s="7" t="s">
        <v>67</v>
      </c>
    </row>
    <row r="28" spans="1:10" ht="15.75" customHeight="1" x14ac:dyDescent="0.3">
      <c r="A28" s="6" t="s">
        <v>68</v>
      </c>
      <c r="B28" s="6" t="s">
        <v>58</v>
      </c>
      <c r="C28" s="6" t="s">
        <v>59</v>
      </c>
      <c r="D28" s="6" t="s">
        <v>15</v>
      </c>
      <c r="E28" s="6" t="s">
        <v>15</v>
      </c>
      <c r="F28" s="6">
        <v>101</v>
      </c>
      <c r="G28" s="6">
        <v>101</v>
      </c>
      <c r="H28" s="6" t="s">
        <v>63</v>
      </c>
      <c r="I28" s="6" t="s">
        <v>17</v>
      </c>
      <c r="J28" s="6" t="s">
        <v>69</v>
      </c>
    </row>
    <row r="29" spans="1:10" ht="15.75" customHeight="1" x14ac:dyDescent="0.3">
      <c r="A29" s="7" t="s">
        <v>70</v>
      </c>
      <c r="B29" s="7" t="s">
        <v>58</v>
      </c>
      <c r="C29" s="7" t="s">
        <v>59</v>
      </c>
      <c r="D29" s="7" t="s">
        <v>15</v>
      </c>
      <c r="E29" s="7" t="s">
        <v>15</v>
      </c>
      <c r="F29" s="7">
        <v>54</v>
      </c>
      <c r="G29" s="7">
        <v>54</v>
      </c>
      <c r="H29" s="7" t="s">
        <v>66</v>
      </c>
      <c r="I29" s="7" t="s">
        <v>17</v>
      </c>
      <c r="J29" s="7" t="s">
        <v>71</v>
      </c>
    </row>
    <row r="30" spans="1:10" ht="15.75" customHeight="1" x14ac:dyDescent="0.3">
      <c r="A30" s="6" t="s">
        <v>72</v>
      </c>
      <c r="B30" s="6" t="s">
        <v>58</v>
      </c>
      <c r="C30" s="6" t="s">
        <v>59</v>
      </c>
      <c r="D30" s="6" t="s">
        <v>15</v>
      </c>
      <c r="E30" s="6" t="s">
        <v>15</v>
      </c>
      <c r="F30" s="6">
        <v>80</v>
      </c>
      <c r="G30" s="6">
        <v>55</v>
      </c>
      <c r="H30" s="6" t="s">
        <v>60</v>
      </c>
      <c r="I30" s="6" t="s">
        <v>17</v>
      </c>
      <c r="J30" s="6" t="s">
        <v>73</v>
      </c>
    </row>
    <row r="31" spans="1:10" ht="15.75" customHeight="1" x14ac:dyDescent="0.3">
      <c r="A31" s="7" t="s">
        <v>74</v>
      </c>
      <c r="B31" s="7" t="s">
        <v>58</v>
      </c>
      <c r="C31" s="7" t="s">
        <v>59</v>
      </c>
      <c r="D31" s="7" t="s">
        <v>15</v>
      </c>
      <c r="E31" s="7" t="s">
        <v>15</v>
      </c>
      <c r="F31" s="7">
        <v>80</v>
      </c>
      <c r="G31" s="7">
        <v>68</v>
      </c>
      <c r="H31" s="7" t="s">
        <v>75</v>
      </c>
      <c r="I31" s="7" t="s">
        <v>17</v>
      </c>
      <c r="J31" s="7" t="s">
        <v>76</v>
      </c>
    </row>
    <row r="32" spans="1:10" ht="15.75" customHeight="1" x14ac:dyDescent="0.3">
      <c r="A32" s="6" t="s">
        <v>77</v>
      </c>
      <c r="B32" s="6" t="s">
        <v>58</v>
      </c>
      <c r="C32" s="6" t="s">
        <v>59</v>
      </c>
      <c r="D32" s="6" t="s">
        <v>15</v>
      </c>
      <c r="E32" s="6" t="s">
        <v>15</v>
      </c>
      <c r="F32" s="6">
        <v>80</v>
      </c>
      <c r="G32" s="6">
        <v>72</v>
      </c>
      <c r="H32" s="6" t="s">
        <v>75</v>
      </c>
      <c r="I32" s="6" t="s">
        <v>17</v>
      </c>
      <c r="J32" s="6" t="s">
        <v>78</v>
      </c>
    </row>
    <row r="33" spans="1:10" ht="15.75" customHeight="1" x14ac:dyDescent="0.3">
      <c r="A33" s="7" t="s">
        <v>79</v>
      </c>
      <c r="B33" s="7" t="s">
        <v>58</v>
      </c>
      <c r="C33" s="7" t="s">
        <v>59</v>
      </c>
      <c r="D33" s="7" t="s">
        <v>15</v>
      </c>
      <c r="E33" s="7" t="s">
        <v>15</v>
      </c>
      <c r="F33" s="7">
        <v>60</v>
      </c>
      <c r="G33" s="7">
        <v>62</v>
      </c>
      <c r="H33" s="7" t="s">
        <v>80</v>
      </c>
      <c r="I33" s="7" t="s">
        <v>17</v>
      </c>
      <c r="J33" s="7" t="s">
        <v>81</v>
      </c>
    </row>
    <row r="34" spans="1:10" ht="15.75" customHeight="1" x14ac:dyDescent="0.3">
      <c r="A34" s="6" t="s">
        <v>82</v>
      </c>
      <c r="B34" s="6" t="s">
        <v>83</v>
      </c>
      <c r="C34" s="6" t="s">
        <v>59</v>
      </c>
      <c r="D34" s="6" t="s">
        <v>15</v>
      </c>
      <c r="E34" s="6" t="s">
        <v>15</v>
      </c>
      <c r="F34" s="6">
        <v>24</v>
      </c>
      <c r="G34" s="6">
        <v>26.7</v>
      </c>
      <c r="H34" s="6" t="s">
        <v>75</v>
      </c>
      <c r="I34" s="6" t="s">
        <v>17</v>
      </c>
      <c r="J34" s="6" t="s">
        <v>84</v>
      </c>
    </row>
    <row r="35" spans="1:10" ht="15.75" customHeight="1" x14ac:dyDescent="0.3">
      <c r="A35" s="7" t="s">
        <v>85</v>
      </c>
      <c r="B35" s="7" t="s">
        <v>58</v>
      </c>
      <c r="C35" s="7" t="s">
        <v>59</v>
      </c>
      <c r="D35" s="7" t="s">
        <v>15</v>
      </c>
      <c r="E35" s="7" t="s">
        <v>15</v>
      </c>
      <c r="F35" s="7">
        <v>40</v>
      </c>
      <c r="G35" s="7">
        <v>40</v>
      </c>
      <c r="H35" s="7" t="s">
        <v>75</v>
      </c>
      <c r="I35" s="7" t="s">
        <v>17</v>
      </c>
      <c r="J35" s="7" t="s">
        <v>86</v>
      </c>
    </row>
    <row r="36" spans="1:10" ht="15.75" customHeight="1" x14ac:dyDescent="0.3">
      <c r="A36" s="6" t="s">
        <v>87</v>
      </c>
      <c r="B36" s="6" t="s">
        <v>88</v>
      </c>
      <c r="C36" s="6" t="s">
        <v>89</v>
      </c>
      <c r="D36" s="6" t="s">
        <v>15</v>
      </c>
      <c r="E36" s="6" t="s">
        <v>15</v>
      </c>
      <c r="F36" s="6">
        <v>103.5</v>
      </c>
      <c r="G36" s="6">
        <v>103.5</v>
      </c>
      <c r="H36" s="6" t="s">
        <v>90</v>
      </c>
      <c r="I36" s="6" t="s">
        <v>17</v>
      </c>
      <c r="J36" s="6" t="s">
        <v>91</v>
      </c>
    </row>
    <row r="37" spans="1:10" ht="15.75" customHeight="1" x14ac:dyDescent="0.3">
      <c r="A37" s="7" t="s">
        <v>92</v>
      </c>
      <c r="B37" s="7" t="s">
        <v>93</v>
      </c>
      <c r="C37" s="7" t="s">
        <v>89</v>
      </c>
      <c r="D37" s="7" t="s">
        <v>94</v>
      </c>
      <c r="E37" s="7" t="s">
        <v>95</v>
      </c>
      <c r="F37" s="7">
        <v>163</v>
      </c>
      <c r="G37" s="7">
        <v>163</v>
      </c>
      <c r="H37" s="7" t="s">
        <v>90</v>
      </c>
      <c r="I37" s="7" t="s">
        <v>17</v>
      </c>
      <c r="J37" s="7" t="s">
        <v>96</v>
      </c>
    </row>
    <row r="38" spans="1:10" ht="15.75" customHeight="1" x14ac:dyDescent="0.3">
      <c r="A38" s="6" t="s">
        <v>97</v>
      </c>
      <c r="B38" s="6" t="s">
        <v>98</v>
      </c>
      <c r="C38" s="6" t="s">
        <v>99</v>
      </c>
      <c r="D38" s="6" t="s">
        <v>94</v>
      </c>
      <c r="E38" s="6" t="s">
        <v>95</v>
      </c>
      <c r="F38" s="6">
        <v>138</v>
      </c>
      <c r="G38" s="6">
        <v>138</v>
      </c>
      <c r="H38" s="6" t="s">
        <v>100</v>
      </c>
      <c r="I38" s="6" t="s">
        <v>17</v>
      </c>
      <c r="J38" s="6" t="s">
        <v>101</v>
      </c>
    </row>
    <row r="39" spans="1:10" ht="15.75" customHeight="1" x14ac:dyDescent="0.3">
      <c r="A39" s="7" t="s">
        <v>102</v>
      </c>
      <c r="B39" s="7" t="s">
        <v>103</v>
      </c>
      <c r="C39" s="7" t="s">
        <v>99</v>
      </c>
      <c r="D39" s="7" t="s">
        <v>104</v>
      </c>
      <c r="E39" s="7" t="s">
        <v>105</v>
      </c>
      <c r="F39" s="7">
        <v>657</v>
      </c>
      <c r="G39" s="7">
        <v>657</v>
      </c>
      <c r="H39" s="7" t="s">
        <v>106</v>
      </c>
      <c r="I39" s="7" t="s">
        <v>17</v>
      </c>
      <c r="J39" s="7" t="s">
        <v>107</v>
      </c>
    </row>
    <row r="40" spans="1:10" ht="15.75" customHeight="1" x14ac:dyDescent="0.3">
      <c r="A40" s="6" t="s">
        <v>108</v>
      </c>
      <c r="B40" s="6" t="s">
        <v>109</v>
      </c>
      <c r="C40" s="6" t="s">
        <v>99</v>
      </c>
      <c r="D40" s="6" t="s">
        <v>104</v>
      </c>
      <c r="E40" s="6" t="s">
        <v>105</v>
      </c>
      <c r="F40" s="6">
        <v>158</v>
      </c>
      <c r="G40" s="6">
        <v>158</v>
      </c>
      <c r="H40" s="6" t="s">
        <v>106</v>
      </c>
      <c r="I40" s="6" t="s">
        <v>17</v>
      </c>
      <c r="J40" s="6" t="s">
        <v>110</v>
      </c>
    </row>
    <row r="41" spans="1:10" ht="15.75" customHeight="1" x14ac:dyDescent="0.3">
      <c r="A41" s="7" t="s">
        <v>111</v>
      </c>
      <c r="B41" s="7" t="s">
        <v>112</v>
      </c>
      <c r="C41" s="7" t="s">
        <v>113</v>
      </c>
      <c r="D41" s="7" t="s">
        <v>94</v>
      </c>
      <c r="E41" s="7" t="s">
        <v>95</v>
      </c>
      <c r="F41" s="7">
        <v>419</v>
      </c>
      <c r="G41" s="7">
        <v>419</v>
      </c>
      <c r="H41" s="7" t="s">
        <v>114</v>
      </c>
      <c r="I41" s="7" t="s">
        <v>17</v>
      </c>
      <c r="J41" s="7" t="s">
        <v>115</v>
      </c>
    </row>
    <row r="42" spans="1:10" ht="15.75" customHeight="1" x14ac:dyDescent="0.3">
      <c r="A42" s="6" t="s">
        <v>116</v>
      </c>
      <c r="B42" s="6" t="s">
        <v>98</v>
      </c>
      <c r="C42" s="6" t="s">
        <v>117</v>
      </c>
      <c r="D42" s="6" t="s">
        <v>94</v>
      </c>
      <c r="E42" s="6" t="s">
        <v>95</v>
      </c>
      <c r="F42" s="6">
        <v>54</v>
      </c>
      <c r="G42" s="6">
        <v>54</v>
      </c>
      <c r="H42" s="6" t="s">
        <v>118</v>
      </c>
      <c r="I42" s="6" t="s">
        <v>17</v>
      </c>
      <c r="J42" s="6" t="s">
        <v>119</v>
      </c>
    </row>
    <row r="43" spans="1:10" x14ac:dyDescent="0.3">
      <c r="A43" s="8" t="s">
        <v>120</v>
      </c>
      <c r="B43" s="8"/>
      <c r="C43" s="8"/>
      <c r="D43" s="8"/>
      <c r="E43" s="8"/>
      <c r="F43" s="8">
        <f>SUM(F4:F42)</f>
        <v>4916.8999999999996</v>
      </c>
      <c r="G43" s="8">
        <f>SUM(G4:G42)</f>
        <v>4786.6000000000004</v>
      </c>
      <c r="H43" s="8"/>
      <c r="I43" s="8" t="s">
        <v>121</v>
      </c>
      <c r="J43" s="8"/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zoomScaleNormal="100" workbookViewId="0">
      <pane ySplit="3" topLeftCell="A4" activePane="bottomLeft" state="frozen"/>
      <selection pane="bottomLeft" activeCell="A18" sqref="A18"/>
    </sheetView>
  </sheetViews>
  <sheetFormatPr baseColWidth="10" defaultColWidth="8.6640625" defaultRowHeight="14.4" x14ac:dyDescent="0.3"/>
  <cols>
    <col min="1" max="1" width="30" customWidth="1"/>
    <col min="2" max="6" width="14" customWidth="1"/>
    <col min="7" max="7" width="40" customWidth="1"/>
  </cols>
  <sheetData>
    <row r="1" spans="1:7" ht="21.75" customHeight="1" x14ac:dyDescent="0.3">
      <c r="A1" s="4" t="s">
        <v>122</v>
      </c>
      <c r="B1" s="4"/>
      <c r="C1" s="4"/>
      <c r="D1" s="4"/>
      <c r="E1" s="4"/>
      <c r="F1" s="4"/>
      <c r="G1" s="4"/>
    </row>
    <row r="2" spans="1:7" ht="30" customHeight="1" x14ac:dyDescent="0.3">
      <c r="A2" s="3" t="s">
        <v>123</v>
      </c>
      <c r="B2" s="3"/>
      <c r="C2" s="3"/>
      <c r="D2" s="3"/>
      <c r="E2" s="3"/>
      <c r="F2" s="3"/>
      <c r="G2" s="3"/>
    </row>
    <row r="3" spans="1:7" ht="30" customHeight="1" x14ac:dyDescent="0.3">
      <c r="A3" s="5" t="s">
        <v>124</v>
      </c>
      <c r="B3" s="5" t="s">
        <v>125</v>
      </c>
      <c r="C3" s="5" t="s">
        <v>126</v>
      </c>
      <c r="D3" s="5" t="s">
        <v>127</v>
      </c>
      <c r="E3" s="5" t="s">
        <v>128</v>
      </c>
      <c r="F3" s="5" t="s">
        <v>129</v>
      </c>
      <c r="G3" s="5" t="s">
        <v>130</v>
      </c>
    </row>
    <row r="4" spans="1:7" ht="15.75" customHeight="1" x14ac:dyDescent="0.3">
      <c r="A4" s="6" t="s">
        <v>131</v>
      </c>
      <c r="B4" s="6"/>
      <c r="C4" s="6"/>
      <c r="D4" s="6"/>
      <c r="E4" s="6"/>
      <c r="F4" s="6"/>
      <c r="G4" s="6"/>
    </row>
    <row r="5" spans="1:7" ht="15.75" customHeight="1" x14ac:dyDescent="0.3">
      <c r="A5" s="7" t="s">
        <v>14</v>
      </c>
      <c r="B5" s="7" t="s">
        <v>132</v>
      </c>
      <c r="C5" s="7" t="s">
        <v>133</v>
      </c>
      <c r="D5" s="7" t="s">
        <v>134</v>
      </c>
      <c r="E5" s="7" t="s">
        <v>135</v>
      </c>
      <c r="F5" s="7" t="s">
        <v>136</v>
      </c>
      <c r="G5" s="7" t="s">
        <v>137</v>
      </c>
    </row>
    <row r="6" spans="1:7" ht="15.75" customHeight="1" x14ac:dyDescent="0.3">
      <c r="A6" s="6" t="s">
        <v>138</v>
      </c>
      <c r="B6" s="6" t="s">
        <v>139</v>
      </c>
      <c r="C6" s="6" t="s">
        <v>140</v>
      </c>
      <c r="D6" s="6" t="s">
        <v>141</v>
      </c>
      <c r="E6" s="6" t="s">
        <v>142</v>
      </c>
      <c r="F6" s="6" t="s">
        <v>143</v>
      </c>
      <c r="G6" s="6" t="s">
        <v>144</v>
      </c>
    </row>
    <row r="7" spans="1:7" ht="15.75" customHeight="1" x14ac:dyDescent="0.3">
      <c r="A7" s="9" t="s">
        <v>145</v>
      </c>
      <c r="B7" s="9" t="s">
        <v>146</v>
      </c>
      <c r="C7" s="9" t="s">
        <v>147</v>
      </c>
      <c r="D7" s="9" t="s">
        <v>148</v>
      </c>
      <c r="E7" s="9" t="s">
        <v>149</v>
      </c>
      <c r="F7" s="9" t="s">
        <v>150</v>
      </c>
      <c r="G7" s="9" t="s">
        <v>151</v>
      </c>
    </row>
    <row r="8" spans="1:7" ht="15.75" customHeight="1" x14ac:dyDescent="0.3">
      <c r="A8" s="6" t="s">
        <v>152</v>
      </c>
      <c r="B8" s="6" t="s">
        <v>153</v>
      </c>
      <c r="C8" s="6" t="s">
        <v>154</v>
      </c>
      <c r="D8" s="6" t="s">
        <v>155</v>
      </c>
      <c r="E8" s="6" t="s">
        <v>156</v>
      </c>
      <c r="F8" s="6" t="s">
        <v>157</v>
      </c>
      <c r="G8" s="6" t="s">
        <v>158</v>
      </c>
    </row>
    <row r="9" spans="1:7" ht="15.75" customHeight="1" x14ac:dyDescent="0.3">
      <c r="A9" s="7" t="s">
        <v>159</v>
      </c>
      <c r="B9" s="7" t="s">
        <v>160</v>
      </c>
      <c r="C9" s="7" t="s">
        <v>161</v>
      </c>
      <c r="D9" s="7" t="s">
        <v>162</v>
      </c>
      <c r="E9" s="7" t="s">
        <v>163</v>
      </c>
      <c r="F9" s="7" t="s">
        <v>164</v>
      </c>
      <c r="G9" s="7" t="s">
        <v>165</v>
      </c>
    </row>
    <row r="10" spans="1:7" ht="15.75" customHeight="1" x14ac:dyDescent="0.3">
      <c r="A10" s="6" t="s">
        <v>166</v>
      </c>
      <c r="B10" s="6" t="s">
        <v>167</v>
      </c>
      <c r="C10" s="6" t="s">
        <v>168</v>
      </c>
      <c r="D10" s="6" t="s">
        <v>169</v>
      </c>
      <c r="E10" s="6" t="s">
        <v>170</v>
      </c>
      <c r="F10" s="6" t="s">
        <v>171</v>
      </c>
      <c r="G10" s="6" t="s">
        <v>151</v>
      </c>
    </row>
    <row r="11" spans="1:7" ht="15.75" customHeight="1" x14ac:dyDescent="0.3">
      <c r="A11" s="7" t="s">
        <v>172</v>
      </c>
      <c r="B11" s="7" t="s">
        <v>173</v>
      </c>
      <c r="C11" s="7" t="s">
        <v>174</v>
      </c>
      <c r="D11" s="7" t="s">
        <v>175</v>
      </c>
      <c r="E11" s="7" t="s">
        <v>176</v>
      </c>
      <c r="F11" s="7" t="s">
        <v>177</v>
      </c>
      <c r="G11" s="7" t="s">
        <v>151</v>
      </c>
    </row>
    <row r="12" spans="1:7" ht="15.75" customHeight="1" x14ac:dyDescent="0.3">
      <c r="A12" s="6" t="s">
        <v>178</v>
      </c>
      <c r="B12" s="6" t="s">
        <v>179</v>
      </c>
      <c r="C12" s="6" t="s">
        <v>180</v>
      </c>
      <c r="D12" s="6" t="s">
        <v>181</v>
      </c>
      <c r="E12" s="6" t="s">
        <v>182</v>
      </c>
      <c r="F12" s="6" t="s">
        <v>183</v>
      </c>
      <c r="G12" s="6" t="s">
        <v>184</v>
      </c>
    </row>
    <row r="13" spans="1:7" ht="15.75" customHeight="1" x14ac:dyDescent="0.3">
      <c r="A13" s="7" t="s">
        <v>185</v>
      </c>
      <c r="B13" s="7" t="s">
        <v>186</v>
      </c>
      <c r="C13" s="7" t="s">
        <v>187</v>
      </c>
      <c r="D13" s="7" t="s">
        <v>188</v>
      </c>
      <c r="E13" s="7" t="s">
        <v>189</v>
      </c>
      <c r="F13" s="7" t="s">
        <v>190</v>
      </c>
      <c r="G13" s="7" t="s">
        <v>191</v>
      </c>
    </row>
    <row r="14" spans="1:7" ht="15.75" customHeight="1" x14ac:dyDescent="0.3">
      <c r="A14" s="6" t="s">
        <v>192</v>
      </c>
      <c r="B14" s="6" t="s">
        <v>186</v>
      </c>
      <c r="C14" s="6" t="s">
        <v>186</v>
      </c>
      <c r="D14" s="6" t="s">
        <v>186</v>
      </c>
      <c r="E14" s="6" t="s">
        <v>186</v>
      </c>
      <c r="F14" s="6" t="s">
        <v>186</v>
      </c>
      <c r="G14" s="6" t="s">
        <v>193</v>
      </c>
    </row>
    <row r="15" spans="1:7" ht="15.75" customHeight="1" x14ac:dyDescent="0.3">
      <c r="A15" s="7" t="s">
        <v>194</v>
      </c>
      <c r="B15" s="7">
        <f>SUM(B3:B12)</f>
        <v>0</v>
      </c>
      <c r="C15" s="7">
        <f>SUM(C3:C12)</f>
        <v>0</v>
      </c>
      <c r="D15" s="7">
        <f>SUM(D3:D12)</f>
        <v>0</v>
      </c>
      <c r="E15" s="7">
        <f>SUM(E3:E12)</f>
        <v>0</v>
      </c>
      <c r="F15" s="7" t="s">
        <v>195</v>
      </c>
      <c r="G15" s="7" t="s">
        <v>196</v>
      </c>
    </row>
    <row r="16" spans="1:7" ht="15.75" customHeight="1" x14ac:dyDescent="0.3">
      <c r="A16" s="6"/>
      <c r="B16" s="6"/>
      <c r="C16" s="6"/>
      <c r="D16" s="6"/>
      <c r="E16" s="6"/>
      <c r="F16" s="6"/>
      <c r="G16" s="6"/>
    </row>
    <row r="17" spans="1:7" ht="15.75" customHeight="1" x14ac:dyDescent="0.3">
      <c r="A17" s="7" t="s">
        <v>197</v>
      </c>
      <c r="B17" s="7"/>
      <c r="C17" s="7"/>
      <c r="D17" s="7"/>
      <c r="E17" s="7"/>
      <c r="F17" s="7"/>
      <c r="G17" s="7"/>
    </row>
    <row r="18" spans="1:7" ht="15.75" customHeight="1" x14ac:dyDescent="0.3">
      <c r="A18" s="10" t="s">
        <v>198</v>
      </c>
      <c r="B18" s="10" t="s">
        <v>199</v>
      </c>
      <c r="C18" s="10" t="s">
        <v>200</v>
      </c>
      <c r="D18" s="10" t="s">
        <v>201</v>
      </c>
      <c r="E18" s="10" t="s">
        <v>201</v>
      </c>
      <c r="F18" s="10" t="s">
        <v>202</v>
      </c>
      <c r="G18" s="10" t="s">
        <v>203</v>
      </c>
    </row>
    <row r="19" spans="1:7" ht="15.75" customHeight="1" x14ac:dyDescent="0.3">
      <c r="A19" s="7"/>
      <c r="B19" s="7"/>
      <c r="C19" s="7"/>
      <c r="D19" s="7"/>
      <c r="E19" s="7"/>
      <c r="F19" s="7"/>
      <c r="G19" s="7"/>
    </row>
    <row r="20" spans="1:7" ht="15.75" customHeight="1" x14ac:dyDescent="0.3">
      <c r="A20" s="6" t="s">
        <v>204</v>
      </c>
      <c r="B20" s="6"/>
      <c r="C20" s="6"/>
      <c r="D20" s="6"/>
      <c r="E20" s="6"/>
      <c r="F20" s="6"/>
      <c r="G20" s="6"/>
    </row>
    <row r="21" spans="1:7" ht="15.75" customHeight="1" x14ac:dyDescent="0.3">
      <c r="A21" s="9" t="s">
        <v>205</v>
      </c>
      <c r="B21" s="9" t="s">
        <v>186</v>
      </c>
      <c r="C21" s="9" t="s">
        <v>186</v>
      </c>
      <c r="D21" s="9" t="s">
        <v>186</v>
      </c>
      <c r="E21" s="9" t="s">
        <v>206</v>
      </c>
      <c r="F21" s="9" t="s">
        <v>207</v>
      </c>
      <c r="G21" s="9" t="s">
        <v>208</v>
      </c>
    </row>
    <row r="22" spans="1:7" ht="15.75" customHeight="1" x14ac:dyDescent="0.3">
      <c r="A22" s="6" t="s">
        <v>209</v>
      </c>
      <c r="B22" s="6" t="s">
        <v>186</v>
      </c>
      <c r="C22" s="6" t="s">
        <v>186</v>
      </c>
      <c r="D22" s="6" t="s">
        <v>186</v>
      </c>
      <c r="E22" s="6" t="s">
        <v>186</v>
      </c>
      <c r="F22" s="6" t="s">
        <v>210</v>
      </c>
      <c r="G22" s="6" t="s">
        <v>211</v>
      </c>
    </row>
    <row r="23" spans="1:7" ht="15.75" customHeight="1" x14ac:dyDescent="0.3">
      <c r="A23" s="7" t="s">
        <v>212</v>
      </c>
      <c r="B23" s="7" t="s">
        <v>186</v>
      </c>
      <c r="C23" s="7" t="s">
        <v>186</v>
      </c>
      <c r="D23" s="7" t="s">
        <v>186</v>
      </c>
      <c r="E23" s="7" t="s">
        <v>186</v>
      </c>
      <c r="F23" s="7" t="s">
        <v>213</v>
      </c>
      <c r="G23" s="7" t="s">
        <v>214</v>
      </c>
    </row>
    <row r="24" spans="1:7" ht="15.75" customHeight="1" x14ac:dyDescent="0.3">
      <c r="A24" s="6" t="s">
        <v>7</v>
      </c>
      <c r="B24" s="6" t="s">
        <v>186</v>
      </c>
      <c r="C24" s="6" t="s">
        <v>186</v>
      </c>
      <c r="D24" s="6" t="s">
        <v>186</v>
      </c>
      <c r="E24" s="6" t="s">
        <v>186</v>
      </c>
      <c r="F24" s="6" t="s">
        <v>215</v>
      </c>
      <c r="G24" s="6" t="s">
        <v>216</v>
      </c>
    </row>
    <row r="25" spans="1:7" ht="15.75" customHeight="1" x14ac:dyDescent="0.3">
      <c r="A25" s="7"/>
      <c r="B25" s="7"/>
      <c r="C25" s="7"/>
      <c r="D25" s="7"/>
      <c r="E25" s="7"/>
      <c r="F25" s="7"/>
      <c r="G25" s="7"/>
    </row>
    <row r="27" spans="1:7" x14ac:dyDescent="0.3">
      <c r="A27" s="11" t="s">
        <v>217</v>
      </c>
    </row>
    <row r="28" spans="1:7" x14ac:dyDescent="0.3">
      <c r="A28" s="2" t="s">
        <v>218</v>
      </c>
      <c r="B28" s="2"/>
      <c r="C28" s="2"/>
      <c r="D28" s="2"/>
      <c r="E28" s="2"/>
      <c r="F28" s="2"/>
      <c r="G28" s="2"/>
    </row>
    <row r="29" spans="1:7" ht="15.75" customHeight="1" x14ac:dyDescent="0.3">
      <c r="A29" s="6" t="s">
        <v>219</v>
      </c>
      <c r="B29" s="6" t="s">
        <v>220</v>
      </c>
      <c r="C29" s="6" t="s">
        <v>221</v>
      </c>
      <c r="D29" s="6"/>
      <c r="E29" s="6"/>
      <c r="F29" s="6"/>
      <c r="G29" s="6" t="s">
        <v>222</v>
      </c>
    </row>
    <row r="30" spans="1:7" ht="15.75" customHeight="1" x14ac:dyDescent="0.3">
      <c r="A30" s="7" t="s">
        <v>223</v>
      </c>
      <c r="B30" s="7" t="s">
        <v>224</v>
      </c>
      <c r="C30" s="7" t="s">
        <v>225</v>
      </c>
      <c r="D30" s="7"/>
      <c r="E30" s="7"/>
      <c r="F30" s="7"/>
      <c r="G30" s="7" t="s">
        <v>226</v>
      </c>
    </row>
    <row r="31" spans="1:7" ht="15.75" customHeight="1" x14ac:dyDescent="0.3">
      <c r="A31" s="6" t="s">
        <v>227</v>
      </c>
      <c r="B31" s="6" t="s">
        <v>228</v>
      </c>
      <c r="C31" s="6" t="s">
        <v>229</v>
      </c>
      <c r="D31" s="6"/>
      <c r="E31" s="6"/>
      <c r="F31" s="6"/>
      <c r="G31" s="6" t="s">
        <v>226</v>
      </c>
    </row>
    <row r="32" spans="1:7" ht="15.75" customHeight="1" x14ac:dyDescent="0.3">
      <c r="A32" s="7" t="s">
        <v>230</v>
      </c>
      <c r="B32" s="7" t="s">
        <v>231</v>
      </c>
      <c r="C32" s="7" t="s">
        <v>232</v>
      </c>
      <c r="D32" s="7"/>
      <c r="E32" s="7"/>
      <c r="F32" s="7"/>
      <c r="G32" s="7" t="s">
        <v>226</v>
      </c>
    </row>
    <row r="33" spans="1:7" ht="15.75" customHeight="1" x14ac:dyDescent="0.3">
      <c r="A33" s="6" t="s">
        <v>233</v>
      </c>
      <c r="B33" s="6" t="s">
        <v>234</v>
      </c>
      <c r="C33" s="6" t="s">
        <v>235</v>
      </c>
      <c r="D33" s="6"/>
      <c r="E33" s="6"/>
      <c r="F33" s="6"/>
      <c r="G33" s="6" t="s">
        <v>236</v>
      </c>
    </row>
  </sheetData>
  <mergeCells count="3">
    <mergeCell ref="A1:G1"/>
    <mergeCell ref="A2:G2"/>
    <mergeCell ref="A28:G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"/>
  <sheetViews>
    <sheetView zoomScaleNormal="100" workbookViewId="0">
      <pane ySplit="3" topLeftCell="A4" activePane="bottomLeft" state="frozen"/>
      <selection pane="bottomLeft" sqref="A1:M1"/>
    </sheetView>
  </sheetViews>
  <sheetFormatPr baseColWidth="10" defaultColWidth="8.6640625" defaultRowHeight="14.4" x14ac:dyDescent="0.3"/>
  <cols>
    <col min="1" max="1" width="25" customWidth="1"/>
    <col min="2" max="3" width="14" customWidth="1"/>
    <col min="4" max="5" width="18" customWidth="1"/>
    <col min="6" max="6" width="12" customWidth="1"/>
    <col min="7" max="7" width="14" customWidth="1"/>
    <col min="8" max="8" width="8" customWidth="1"/>
    <col min="9" max="9" width="18" customWidth="1"/>
    <col min="10" max="11" width="14" customWidth="1"/>
    <col min="12" max="12" width="12" customWidth="1"/>
    <col min="13" max="13" width="40" customWidth="1"/>
  </cols>
  <sheetData>
    <row r="1" spans="1:13" ht="21.75" customHeight="1" x14ac:dyDescent="0.3">
      <c r="A1" s="4" t="s">
        <v>237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0" customHeight="1" x14ac:dyDescent="0.3">
      <c r="A2" s="3" t="s">
        <v>238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 x14ac:dyDescent="0.3">
      <c r="A3" s="5" t="s">
        <v>239</v>
      </c>
      <c r="B3" s="5" t="s">
        <v>240</v>
      </c>
      <c r="C3" s="5" t="s">
        <v>241</v>
      </c>
      <c r="D3" s="5" t="s">
        <v>242</v>
      </c>
      <c r="E3" s="5" t="s">
        <v>243</v>
      </c>
      <c r="F3" s="5" t="s">
        <v>244</v>
      </c>
      <c r="G3" s="5" t="s">
        <v>245</v>
      </c>
      <c r="H3" s="5" t="s">
        <v>246</v>
      </c>
      <c r="I3" s="5" t="s">
        <v>9</v>
      </c>
      <c r="J3" s="5" t="s">
        <v>247</v>
      </c>
      <c r="K3" s="5" t="s">
        <v>248</v>
      </c>
      <c r="L3" s="5" t="s">
        <v>10</v>
      </c>
      <c r="M3" s="5" t="s">
        <v>11</v>
      </c>
    </row>
    <row r="4" spans="1:13" ht="39.75" customHeight="1" x14ac:dyDescent="0.3">
      <c r="A4" s="12" t="s">
        <v>249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 t="s">
        <v>250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"/>
  <sheetViews>
    <sheetView zoomScaleNormal="100" workbookViewId="0">
      <pane ySplit="3" topLeftCell="A4" activePane="bottomLeft" state="frozen"/>
      <selection pane="bottomLeft" activeCell="A4" sqref="A4:A5"/>
    </sheetView>
  </sheetViews>
  <sheetFormatPr baseColWidth="10" defaultColWidth="8.6640625" defaultRowHeight="14.4" x14ac:dyDescent="0.3"/>
  <cols>
    <col min="1" max="1" width="30" customWidth="1"/>
    <col min="2" max="3" width="12" customWidth="1"/>
    <col min="4" max="4" width="22" customWidth="1"/>
    <col min="5" max="5" width="18" customWidth="1"/>
    <col min="6" max="6" width="14" customWidth="1"/>
    <col min="7" max="7" width="18" customWidth="1"/>
    <col min="8" max="8" width="12" customWidth="1"/>
    <col min="9" max="9" width="8" customWidth="1"/>
    <col min="10" max="10" width="45" customWidth="1"/>
    <col min="11" max="11" width="12" customWidth="1"/>
    <col min="12" max="12" width="22" customWidth="1"/>
    <col min="13" max="13" width="35" customWidth="1"/>
  </cols>
  <sheetData>
    <row r="1" spans="1:13" ht="21.75" customHeight="1" x14ac:dyDescent="0.3">
      <c r="A1" s="4" t="s">
        <v>251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0" customHeight="1" x14ac:dyDescent="0.3">
      <c r="A2" s="3" t="s">
        <v>252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 x14ac:dyDescent="0.3">
      <c r="A3" s="5" t="s">
        <v>239</v>
      </c>
      <c r="B3" s="5" t="s">
        <v>240</v>
      </c>
      <c r="C3" s="5" t="s">
        <v>241</v>
      </c>
      <c r="D3" s="5" t="s">
        <v>242</v>
      </c>
      <c r="E3" s="5" t="s">
        <v>243</v>
      </c>
      <c r="F3" s="5" t="s">
        <v>245</v>
      </c>
      <c r="G3" s="5" t="s">
        <v>253</v>
      </c>
      <c r="H3" s="5" t="s">
        <v>244</v>
      </c>
      <c r="I3" s="5" t="s">
        <v>246</v>
      </c>
      <c r="J3" s="5" t="s">
        <v>254</v>
      </c>
      <c r="K3" s="5" t="s">
        <v>255</v>
      </c>
      <c r="L3" s="5" t="s">
        <v>10</v>
      </c>
      <c r="M3" s="5" t="s">
        <v>256</v>
      </c>
    </row>
    <row r="4" spans="1:13" ht="15.75" customHeight="1" x14ac:dyDescent="0.3">
      <c r="A4" s="6" t="s">
        <v>257</v>
      </c>
      <c r="B4" s="6" t="s">
        <v>258</v>
      </c>
      <c r="C4" s="6" t="s">
        <v>259</v>
      </c>
      <c r="D4" s="6" t="s">
        <v>260</v>
      </c>
      <c r="E4" s="6" t="s">
        <v>261</v>
      </c>
      <c r="F4" s="6" t="s">
        <v>262</v>
      </c>
      <c r="G4" s="6" t="s">
        <v>263</v>
      </c>
      <c r="H4" s="6" t="s">
        <v>264</v>
      </c>
      <c r="I4" s="6" t="s">
        <v>265</v>
      </c>
      <c r="J4" s="6" t="s">
        <v>266</v>
      </c>
      <c r="K4" s="6" t="s">
        <v>267</v>
      </c>
      <c r="L4" s="6" t="s">
        <v>268</v>
      </c>
      <c r="M4" s="6" t="s">
        <v>269</v>
      </c>
    </row>
    <row r="5" spans="1:13" ht="15.75" customHeight="1" x14ac:dyDescent="0.3">
      <c r="A5" s="7" t="s">
        <v>270</v>
      </c>
      <c r="B5" s="7" t="s">
        <v>258</v>
      </c>
      <c r="C5" s="7" t="s">
        <v>259</v>
      </c>
      <c r="D5" s="7" t="s">
        <v>271</v>
      </c>
      <c r="E5" s="7" t="s">
        <v>272</v>
      </c>
      <c r="F5" s="7" t="s">
        <v>262</v>
      </c>
      <c r="G5" s="7" t="s">
        <v>273</v>
      </c>
      <c r="H5" s="7" t="s">
        <v>264</v>
      </c>
      <c r="I5" s="7" t="s">
        <v>265</v>
      </c>
      <c r="J5" s="7" t="s">
        <v>274</v>
      </c>
      <c r="K5" s="7" t="s">
        <v>275</v>
      </c>
      <c r="L5" s="7" t="s">
        <v>276</v>
      </c>
      <c r="M5" s="7" t="s">
        <v>269</v>
      </c>
    </row>
    <row r="7" spans="1:13" x14ac:dyDescent="0.3">
      <c r="A7" s="13" t="s">
        <v>277</v>
      </c>
    </row>
    <row r="8" spans="1:13" x14ac:dyDescent="0.3">
      <c r="A8" s="1" t="s">
        <v>278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1" t="s">
        <v>279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">
      <c r="A10" s="1" t="s">
        <v>280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">
      <c r="A11" s="1" t="s">
        <v>281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3">
      <c r="A12" s="1" t="s">
        <v>282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3">
      <c r="A13" s="1" t="s">
        <v>283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">
      <c r="A14" s="1" t="s">
        <v>284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3">
      <c r="A15" s="1" t="s">
        <v>285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">
      <c r="A16" s="1" t="s">
        <v>286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">
      <c r="A17" s="1" t="s">
        <v>287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</sheetData>
  <mergeCells count="12">
    <mergeCell ref="A16:M16"/>
    <mergeCell ref="A17:M17"/>
    <mergeCell ref="A11:M11"/>
    <mergeCell ref="A12:M12"/>
    <mergeCell ref="A13:M13"/>
    <mergeCell ref="A14:M14"/>
    <mergeCell ref="A15:M15"/>
    <mergeCell ref="A1:M1"/>
    <mergeCell ref="A2:M2"/>
    <mergeCell ref="A8:M8"/>
    <mergeCell ref="A9:M9"/>
    <mergeCell ref="A10:M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4"/>
  <sheetViews>
    <sheetView zoomScaleNormal="100" workbookViewId="0">
      <pane ySplit="3" topLeftCell="A4" activePane="bottomLeft" state="frozen"/>
      <selection pane="bottomLeft" activeCell="A5" sqref="A5:A10"/>
    </sheetView>
  </sheetViews>
  <sheetFormatPr baseColWidth="10" defaultColWidth="8.6640625" defaultRowHeight="14.4" x14ac:dyDescent="0.3"/>
  <cols>
    <col min="1" max="1" width="69.21875" bestFit="1" customWidth="1"/>
    <col min="2" max="2" width="14" customWidth="1"/>
    <col min="3" max="4" width="22" customWidth="1"/>
    <col min="5" max="5" width="12" customWidth="1"/>
    <col min="6" max="7" width="35" customWidth="1"/>
  </cols>
  <sheetData>
    <row r="1" spans="1:7" ht="21.75" customHeight="1" x14ac:dyDescent="0.3">
      <c r="A1" s="4" t="s">
        <v>288</v>
      </c>
      <c r="B1" s="4"/>
      <c r="C1" s="4"/>
      <c r="D1" s="4"/>
      <c r="E1" s="4"/>
      <c r="F1" s="4"/>
      <c r="G1" s="4"/>
    </row>
    <row r="2" spans="1:7" ht="30" customHeight="1" x14ac:dyDescent="0.3">
      <c r="A2" s="3" t="s">
        <v>289</v>
      </c>
      <c r="B2" s="3"/>
      <c r="C2" s="3"/>
      <c r="D2" s="3"/>
      <c r="E2" s="3"/>
      <c r="F2" s="3"/>
      <c r="G2" s="3"/>
    </row>
    <row r="3" spans="1:7" ht="30" customHeight="1" x14ac:dyDescent="0.3">
      <c r="A3" s="5" t="s">
        <v>290</v>
      </c>
      <c r="B3" s="5" t="s">
        <v>291</v>
      </c>
      <c r="C3" s="5" t="s">
        <v>292</v>
      </c>
      <c r="D3" s="5" t="s">
        <v>293</v>
      </c>
      <c r="E3" s="5" t="s">
        <v>294</v>
      </c>
      <c r="F3" s="5" t="s">
        <v>295</v>
      </c>
      <c r="G3" s="5" t="s">
        <v>11</v>
      </c>
    </row>
    <row r="4" spans="1:7" ht="15.75" customHeight="1" x14ac:dyDescent="0.3">
      <c r="A4" s="14" t="s">
        <v>296</v>
      </c>
      <c r="B4" s="14"/>
      <c r="C4" s="14"/>
      <c r="D4" s="14"/>
      <c r="E4" s="14"/>
      <c r="F4" s="14"/>
      <c r="G4" s="14"/>
    </row>
    <row r="5" spans="1:7" ht="15.75" customHeight="1" x14ac:dyDescent="0.3">
      <c r="A5" s="7" t="s">
        <v>297</v>
      </c>
      <c r="B5" s="7" t="s">
        <v>298</v>
      </c>
      <c r="C5" s="7" t="s">
        <v>299</v>
      </c>
      <c r="D5" s="7" t="s">
        <v>300</v>
      </c>
      <c r="E5" s="7" t="s">
        <v>301</v>
      </c>
      <c r="F5" s="7" t="s">
        <v>302</v>
      </c>
      <c r="G5" s="7" t="s">
        <v>303</v>
      </c>
    </row>
    <row r="6" spans="1:7" ht="15.75" customHeight="1" x14ac:dyDescent="0.3">
      <c r="A6" s="6" t="s">
        <v>297</v>
      </c>
      <c r="B6" s="6" t="s">
        <v>298</v>
      </c>
      <c r="C6" s="6" t="s">
        <v>304</v>
      </c>
      <c r="D6" s="6" t="s">
        <v>305</v>
      </c>
      <c r="E6" s="6" t="s">
        <v>301</v>
      </c>
      <c r="F6" s="6" t="s">
        <v>306</v>
      </c>
      <c r="G6" s="6" t="s">
        <v>214</v>
      </c>
    </row>
    <row r="7" spans="1:7" ht="15.75" customHeight="1" x14ac:dyDescent="0.3">
      <c r="A7" s="7" t="s">
        <v>297</v>
      </c>
      <c r="B7" s="7" t="s">
        <v>307</v>
      </c>
      <c r="C7" s="7" t="s">
        <v>308</v>
      </c>
      <c r="D7" s="7" t="s">
        <v>309</v>
      </c>
      <c r="E7" s="7" t="s">
        <v>310</v>
      </c>
      <c r="F7" s="7" t="s">
        <v>311</v>
      </c>
      <c r="G7" s="7" t="s">
        <v>214</v>
      </c>
    </row>
    <row r="8" spans="1:7" ht="15.75" customHeight="1" x14ac:dyDescent="0.3">
      <c r="A8" s="6" t="s">
        <v>297</v>
      </c>
      <c r="B8" s="6" t="s">
        <v>307</v>
      </c>
      <c r="C8" s="6" t="s">
        <v>299</v>
      </c>
      <c r="D8" s="6" t="s">
        <v>312</v>
      </c>
      <c r="E8" s="6" t="s">
        <v>313</v>
      </c>
      <c r="F8" s="6" t="s">
        <v>314</v>
      </c>
      <c r="G8" s="6" t="s">
        <v>315</v>
      </c>
    </row>
    <row r="9" spans="1:7" ht="15.75" customHeight="1" x14ac:dyDescent="0.3">
      <c r="A9" s="7" t="s">
        <v>297</v>
      </c>
      <c r="B9" s="7" t="s">
        <v>307</v>
      </c>
      <c r="C9" s="7" t="s">
        <v>304</v>
      </c>
      <c r="D9" s="7" t="s">
        <v>316</v>
      </c>
      <c r="E9" s="7" t="s">
        <v>98</v>
      </c>
      <c r="F9" s="7" t="s">
        <v>317</v>
      </c>
      <c r="G9" s="7" t="s">
        <v>214</v>
      </c>
    </row>
    <row r="10" spans="1:7" ht="15.75" customHeight="1" x14ac:dyDescent="0.3">
      <c r="A10" s="6" t="s">
        <v>318</v>
      </c>
      <c r="B10" s="6" t="s">
        <v>307</v>
      </c>
      <c r="C10" s="6" t="s">
        <v>319</v>
      </c>
      <c r="D10" s="6" t="s">
        <v>320</v>
      </c>
      <c r="E10" s="6" t="s">
        <v>301</v>
      </c>
      <c r="F10" s="6" t="s">
        <v>321</v>
      </c>
      <c r="G10" s="6" t="s">
        <v>214</v>
      </c>
    </row>
    <row r="11" spans="1:7" ht="15.75" customHeight="1" x14ac:dyDescent="0.3">
      <c r="A11" s="7"/>
      <c r="B11" s="7"/>
      <c r="C11" s="7"/>
      <c r="D11" s="7"/>
      <c r="E11" s="7"/>
      <c r="F11" s="7"/>
      <c r="G11" s="7"/>
    </row>
    <row r="12" spans="1:7" ht="15.75" customHeight="1" x14ac:dyDescent="0.3">
      <c r="A12" s="14" t="s">
        <v>322</v>
      </c>
      <c r="B12" s="14"/>
      <c r="C12" s="14"/>
      <c r="D12" s="14"/>
      <c r="E12" s="14"/>
      <c r="F12" s="14"/>
      <c r="G12" s="14"/>
    </row>
    <row r="13" spans="1:7" ht="15.75" customHeight="1" x14ac:dyDescent="0.3">
      <c r="A13" s="7" t="s">
        <v>323</v>
      </c>
      <c r="B13" s="7" t="s">
        <v>324</v>
      </c>
      <c r="C13" s="7" t="s">
        <v>325</v>
      </c>
      <c r="D13" s="7" t="s">
        <v>326</v>
      </c>
      <c r="E13" s="7" t="s">
        <v>327</v>
      </c>
      <c r="F13" s="7" t="s">
        <v>328</v>
      </c>
      <c r="G13" s="7" t="s">
        <v>214</v>
      </c>
    </row>
    <row r="14" spans="1:7" ht="15.75" customHeight="1" x14ac:dyDescent="0.3">
      <c r="A14" s="6" t="s">
        <v>323</v>
      </c>
      <c r="B14" s="6" t="s">
        <v>329</v>
      </c>
      <c r="C14" s="6" t="s">
        <v>325</v>
      </c>
      <c r="D14" s="6" t="s">
        <v>330</v>
      </c>
      <c r="E14" s="6" t="s">
        <v>331</v>
      </c>
      <c r="F14" s="6" t="s">
        <v>332</v>
      </c>
      <c r="G14" s="6" t="s">
        <v>214</v>
      </c>
    </row>
    <row r="15" spans="1:7" ht="15.75" customHeight="1" x14ac:dyDescent="0.3">
      <c r="A15" s="7" t="s">
        <v>323</v>
      </c>
      <c r="B15" s="7" t="s">
        <v>333</v>
      </c>
      <c r="C15" s="7" t="s">
        <v>325</v>
      </c>
      <c r="D15" s="7" t="s">
        <v>334</v>
      </c>
      <c r="E15" s="7" t="s">
        <v>335</v>
      </c>
      <c r="F15" s="7" t="s">
        <v>336</v>
      </c>
      <c r="G15" s="7" t="s">
        <v>214</v>
      </c>
    </row>
    <row r="16" spans="1:7" ht="15.75" customHeight="1" x14ac:dyDescent="0.3">
      <c r="A16" s="6" t="s">
        <v>323</v>
      </c>
      <c r="B16" s="6" t="s">
        <v>337</v>
      </c>
      <c r="C16" s="6" t="s">
        <v>325</v>
      </c>
      <c r="D16" s="6" t="s">
        <v>338</v>
      </c>
      <c r="E16" s="6" t="s">
        <v>331</v>
      </c>
      <c r="F16" s="6" t="s">
        <v>339</v>
      </c>
      <c r="G16" s="6" t="s">
        <v>214</v>
      </c>
    </row>
    <row r="17" spans="1:7" ht="15.75" customHeight="1" x14ac:dyDescent="0.3">
      <c r="A17" s="7" t="s">
        <v>323</v>
      </c>
      <c r="B17" s="7" t="s">
        <v>340</v>
      </c>
      <c r="C17" s="7" t="s">
        <v>341</v>
      </c>
      <c r="D17" s="7" t="s">
        <v>342</v>
      </c>
      <c r="E17" s="7" t="s">
        <v>343</v>
      </c>
      <c r="F17" s="7" t="s">
        <v>344</v>
      </c>
      <c r="G17" s="7" t="s">
        <v>214</v>
      </c>
    </row>
    <row r="18" spans="1:7" ht="15.75" customHeight="1" x14ac:dyDescent="0.3">
      <c r="A18" s="6"/>
      <c r="B18" s="6"/>
      <c r="C18" s="6"/>
      <c r="D18" s="6"/>
      <c r="E18" s="6"/>
      <c r="F18" s="6"/>
      <c r="G18" s="6"/>
    </row>
    <row r="19" spans="1:7" ht="15.75" customHeight="1" x14ac:dyDescent="0.3">
      <c r="A19" s="15" t="s">
        <v>345</v>
      </c>
      <c r="B19" s="15"/>
      <c r="C19" s="15"/>
      <c r="D19" s="15"/>
      <c r="E19" s="15"/>
      <c r="F19" s="15"/>
      <c r="G19" s="15"/>
    </row>
    <row r="20" spans="1:7" ht="15.75" customHeight="1" x14ac:dyDescent="0.3">
      <c r="A20" s="6" t="s">
        <v>346</v>
      </c>
      <c r="B20" s="6" t="s">
        <v>347</v>
      </c>
      <c r="C20" s="6" t="s">
        <v>348</v>
      </c>
      <c r="D20" s="6" t="s">
        <v>349</v>
      </c>
      <c r="E20" s="6" t="s">
        <v>350</v>
      </c>
      <c r="F20" s="6" t="s">
        <v>351</v>
      </c>
      <c r="G20" s="6" t="s">
        <v>214</v>
      </c>
    </row>
    <row r="21" spans="1:7" ht="15.75" customHeight="1" x14ac:dyDescent="0.3">
      <c r="A21" s="7"/>
      <c r="B21" s="7"/>
      <c r="C21" s="7"/>
      <c r="D21" s="7"/>
      <c r="E21" s="7"/>
      <c r="F21" s="7"/>
      <c r="G21" s="7"/>
    </row>
    <row r="22" spans="1:7" ht="15.75" customHeight="1" x14ac:dyDescent="0.3">
      <c r="A22" s="14" t="s">
        <v>352</v>
      </c>
      <c r="B22" s="14"/>
      <c r="C22" s="14"/>
      <c r="D22" s="14"/>
      <c r="E22" s="14"/>
      <c r="F22" s="14"/>
      <c r="G22" s="14"/>
    </row>
    <row r="23" spans="1:7" ht="15.75" customHeight="1" x14ac:dyDescent="0.3">
      <c r="A23" s="7" t="s">
        <v>353</v>
      </c>
      <c r="B23" s="7" t="s">
        <v>298</v>
      </c>
      <c r="C23" s="7" t="s">
        <v>299</v>
      </c>
      <c r="D23" s="7" t="s">
        <v>300</v>
      </c>
      <c r="E23" s="7"/>
      <c r="F23" s="7" t="s">
        <v>354</v>
      </c>
      <c r="G23" s="7" t="s">
        <v>355</v>
      </c>
    </row>
    <row r="24" spans="1:7" ht="15.75" customHeight="1" x14ac:dyDescent="0.3">
      <c r="A24" s="6" t="s">
        <v>353</v>
      </c>
      <c r="B24" s="6" t="s">
        <v>298</v>
      </c>
      <c r="C24" s="6" t="s">
        <v>304</v>
      </c>
      <c r="D24" s="6" t="s">
        <v>305</v>
      </c>
      <c r="E24" s="6"/>
      <c r="F24" s="6" t="s">
        <v>356</v>
      </c>
      <c r="G24" s="6" t="s">
        <v>355</v>
      </c>
    </row>
    <row r="25" spans="1:7" ht="15.75" customHeight="1" x14ac:dyDescent="0.3">
      <c r="A25" s="7" t="s">
        <v>353</v>
      </c>
      <c r="B25" s="7" t="s">
        <v>307</v>
      </c>
      <c r="C25" s="7" t="s">
        <v>308</v>
      </c>
      <c r="D25" s="7" t="s">
        <v>309</v>
      </c>
      <c r="E25" s="7"/>
      <c r="F25" s="7"/>
      <c r="G25" s="7" t="s">
        <v>357</v>
      </c>
    </row>
    <row r="26" spans="1:7" ht="15.75" customHeight="1" x14ac:dyDescent="0.3">
      <c r="A26" s="6" t="s">
        <v>353</v>
      </c>
      <c r="B26" s="6" t="s">
        <v>307</v>
      </c>
      <c r="C26" s="6" t="s">
        <v>299</v>
      </c>
      <c r="D26" s="6" t="s">
        <v>312</v>
      </c>
      <c r="E26" s="6"/>
      <c r="F26" s="6"/>
      <c r="G26" s="6" t="s">
        <v>357</v>
      </c>
    </row>
    <row r="27" spans="1:7" ht="15.75" customHeight="1" x14ac:dyDescent="0.3">
      <c r="A27" s="7" t="s">
        <v>353</v>
      </c>
      <c r="B27" s="7" t="s">
        <v>307</v>
      </c>
      <c r="C27" s="7" t="s">
        <v>304</v>
      </c>
      <c r="D27" s="7" t="s">
        <v>316</v>
      </c>
      <c r="E27" s="7"/>
      <c r="F27" s="7"/>
      <c r="G27" s="7" t="s">
        <v>357</v>
      </c>
    </row>
    <row r="28" spans="1:7" ht="15.75" customHeight="1" x14ac:dyDescent="0.3">
      <c r="A28" s="6" t="s">
        <v>358</v>
      </c>
      <c r="B28" s="6" t="s">
        <v>307</v>
      </c>
      <c r="C28" s="6" t="s">
        <v>319</v>
      </c>
      <c r="D28" s="6" t="s">
        <v>320</v>
      </c>
      <c r="E28" s="6"/>
      <c r="F28" s="6" t="s">
        <v>359</v>
      </c>
      <c r="G28" s="6" t="s">
        <v>357</v>
      </c>
    </row>
    <row r="29" spans="1:7" ht="15.75" customHeight="1" x14ac:dyDescent="0.3">
      <c r="A29" s="7" t="s">
        <v>360</v>
      </c>
      <c r="B29" s="7" t="s">
        <v>324</v>
      </c>
      <c r="C29" s="7"/>
      <c r="D29" s="7" t="s">
        <v>361</v>
      </c>
      <c r="E29" s="7" t="s">
        <v>362</v>
      </c>
      <c r="F29" s="7"/>
      <c r="G29" s="7" t="s">
        <v>357</v>
      </c>
    </row>
    <row r="30" spans="1:7" ht="15.75" customHeight="1" x14ac:dyDescent="0.3">
      <c r="A30" s="6" t="s">
        <v>360</v>
      </c>
      <c r="B30" s="6" t="s">
        <v>329</v>
      </c>
      <c r="C30" s="6"/>
      <c r="D30" s="6" t="s">
        <v>330</v>
      </c>
      <c r="E30" s="6" t="s">
        <v>363</v>
      </c>
      <c r="F30" s="6"/>
      <c r="G30" s="6" t="s">
        <v>357</v>
      </c>
    </row>
    <row r="31" spans="1:7" ht="15.75" customHeight="1" x14ac:dyDescent="0.3">
      <c r="A31" s="7" t="s">
        <v>360</v>
      </c>
      <c r="B31" s="7" t="s">
        <v>333</v>
      </c>
      <c r="C31" s="7"/>
      <c r="D31" s="7" t="s">
        <v>334</v>
      </c>
      <c r="E31" s="7" t="s">
        <v>364</v>
      </c>
      <c r="F31" s="7"/>
      <c r="G31" s="7" t="s">
        <v>357</v>
      </c>
    </row>
    <row r="32" spans="1:7" ht="15.75" customHeight="1" x14ac:dyDescent="0.3">
      <c r="A32" s="6" t="s">
        <v>360</v>
      </c>
      <c r="B32" s="6" t="s">
        <v>337</v>
      </c>
      <c r="C32" s="6"/>
      <c r="D32" s="6" t="s">
        <v>338</v>
      </c>
      <c r="E32" s="6" t="s">
        <v>363</v>
      </c>
      <c r="F32" s="6"/>
      <c r="G32" s="6" t="s">
        <v>357</v>
      </c>
    </row>
    <row r="33" spans="1:7" ht="15.75" customHeight="1" x14ac:dyDescent="0.3">
      <c r="A33" s="7" t="s">
        <v>360</v>
      </c>
      <c r="B33" s="7" t="s">
        <v>365</v>
      </c>
      <c r="C33" s="7"/>
      <c r="D33" s="7" t="s">
        <v>342</v>
      </c>
      <c r="E33" s="7" t="s">
        <v>366</v>
      </c>
      <c r="F33" s="7"/>
      <c r="G33" s="7" t="s">
        <v>357</v>
      </c>
    </row>
    <row r="34" spans="1:7" ht="15.75" customHeight="1" x14ac:dyDescent="0.3">
      <c r="A34" s="6" t="s">
        <v>367</v>
      </c>
      <c r="B34" s="6" t="s">
        <v>98</v>
      </c>
      <c r="C34" s="6" t="s">
        <v>368</v>
      </c>
      <c r="D34" s="6" t="s">
        <v>369</v>
      </c>
      <c r="E34" s="6"/>
      <c r="F34" s="6"/>
      <c r="G34" s="6" t="s">
        <v>357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4"/>
  <sheetViews>
    <sheetView zoomScaleNormal="100" workbookViewId="0">
      <pane ySplit="3" topLeftCell="A31" activePane="bottomLeft" state="frozen"/>
      <selection pane="bottomLeft" activeCell="A37" sqref="A37:A48"/>
    </sheetView>
  </sheetViews>
  <sheetFormatPr baseColWidth="10" defaultColWidth="8.6640625" defaultRowHeight="14.4" x14ac:dyDescent="0.3"/>
  <cols>
    <col min="1" max="1" width="80.77734375" bestFit="1" customWidth="1"/>
    <col min="2" max="3" width="22" customWidth="1"/>
    <col min="4" max="4" width="14" customWidth="1"/>
    <col min="5" max="5" width="30" customWidth="1"/>
    <col min="6" max="6" width="18" customWidth="1"/>
    <col min="7" max="7" width="45" customWidth="1"/>
    <col min="8" max="8" width="12" customWidth="1"/>
    <col min="9" max="9" width="25" customWidth="1"/>
    <col min="10" max="10" width="30" customWidth="1"/>
  </cols>
  <sheetData>
    <row r="1" spans="1:10" ht="21.75" customHeight="1" x14ac:dyDescent="0.3">
      <c r="A1" s="4" t="s">
        <v>370</v>
      </c>
      <c r="B1" s="4"/>
      <c r="C1" s="4"/>
      <c r="D1" s="4"/>
      <c r="E1" s="4"/>
      <c r="F1" s="4"/>
      <c r="G1" s="4"/>
      <c r="H1" s="4"/>
      <c r="I1" s="4"/>
      <c r="J1" s="4"/>
    </row>
    <row r="2" spans="1:10" ht="30" customHeight="1" x14ac:dyDescent="0.3">
      <c r="A2" s="3" t="s">
        <v>371</v>
      </c>
      <c r="B2" s="3"/>
      <c r="C2" s="3"/>
      <c r="D2" s="3"/>
      <c r="E2" s="3"/>
      <c r="F2" s="3"/>
      <c r="G2" s="3"/>
      <c r="H2" s="3"/>
      <c r="I2" s="3"/>
      <c r="J2" s="3"/>
    </row>
    <row r="3" spans="1:10" ht="30" customHeight="1" x14ac:dyDescent="0.3">
      <c r="A3" s="5" t="s">
        <v>372</v>
      </c>
      <c r="B3" s="5" t="s">
        <v>373</v>
      </c>
      <c r="C3" s="5" t="s">
        <v>374</v>
      </c>
      <c r="D3" s="5" t="s">
        <v>375</v>
      </c>
      <c r="E3" s="5" t="s">
        <v>376</v>
      </c>
      <c r="F3" s="5" t="s">
        <v>293</v>
      </c>
      <c r="G3" s="5" t="s">
        <v>254</v>
      </c>
      <c r="H3" s="5" t="s">
        <v>255</v>
      </c>
      <c r="I3" s="5" t="s">
        <v>10</v>
      </c>
      <c r="J3" s="5" t="s">
        <v>256</v>
      </c>
    </row>
    <row r="4" spans="1:10" ht="15.75" customHeight="1" x14ac:dyDescent="0.3">
      <c r="A4" s="14" t="s">
        <v>377</v>
      </c>
      <c r="B4" s="14"/>
      <c r="C4" s="14"/>
      <c r="D4" s="14"/>
      <c r="E4" s="14"/>
      <c r="F4" s="14"/>
      <c r="G4" s="14"/>
      <c r="H4" s="14"/>
      <c r="I4" s="14"/>
      <c r="J4" s="14"/>
    </row>
    <row r="5" spans="1:10" ht="15.75" customHeight="1" x14ac:dyDescent="0.3">
      <c r="A5" s="7" t="s">
        <v>378</v>
      </c>
      <c r="B5" s="7" t="s">
        <v>379</v>
      </c>
      <c r="C5" s="7" t="s">
        <v>380</v>
      </c>
      <c r="D5" s="7" t="s">
        <v>298</v>
      </c>
      <c r="E5" s="7" t="s">
        <v>381</v>
      </c>
      <c r="F5" s="7" t="s">
        <v>382</v>
      </c>
      <c r="G5" s="7" t="s">
        <v>383</v>
      </c>
      <c r="H5" s="7" t="s">
        <v>219</v>
      </c>
      <c r="I5" s="7" t="s">
        <v>384</v>
      </c>
      <c r="J5" s="7" t="s">
        <v>385</v>
      </c>
    </row>
    <row r="6" spans="1:10" ht="15.75" customHeight="1" x14ac:dyDescent="0.3">
      <c r="A6" s="6" t="s">
        <v>386</v>
      </c>
      <c r="B6" s="6" t="s">
        <v>19</v>
      </c>
      <c r="C6" s="6" t="s">
        <v>387</v>
      </c>
      <c r="D6" s="6" t="s">
        <v>298</v>
      </c>
      <c r="E6" s="6" t="s">
        <v>388</v>
      </c>
      <c r="F6" s="6"/>
      <c r="G6" s="6" t="s">
        <v>389</v>
      </c>
      <c r="H6" s="6" t="s">
        <v>219</v>
      </c>
      <c r="I6" s="6" t="s">
        <v>384</v>
      </c>
      <c r="J6" s="6" t="s">
        <v>385</v>
      </c>
    </row>
    <row r="7" spans="1:10" ht="15.75" customHeight="1" x14ac:dyDescent="0.3">
      <c r="A7" s="7" t="s">
        <v>390</v>
      </c>
      <c r="B7" s="7" t="s">
        <v>391</v>
      </c>
      <c r="C7" s="7" t="s">
        <v>391</v>
      </c>
      <c r="D7" s="7" t="s">
        <v>298</v>
      </c>
      <c r="E7" s="7" t="s">
        <v>392</v>
      </c>
      <c r="F7" s="7" t="s">
        <v>393</v>
      </c>
      <c r="G7" s="7" t="s">
        <v>394</v>
      </c>
      <c r="H7" s="7" t="s">
        <v>219</v>
      </c>
      <c r="I7" s="7" t="s">
        <v>384</v>
      </c>
      <c r="J7" s="7" t="s">
        <v>385</v>
      </c>
    </row>
    <row r="8" spans="1:10" ht="15.75" customHeight="1" x14ac:dyDescent="0.3">
      <c r="A8" s="6" t="s">
        <v>395</v>
      </c>
      <c r="B8" s="6" t="s">
        <v>396</v>
      </c>
      <c r="C8" s="6" t="s">
        <v>397</v>
      </c>
      <c r="D8" s="6" t="s">
        <v>307</v>
      </c>
      <c r="E8" s="6" t="s">
        <v>398</v>
      </c>
      <c r="F8" s="6"/>
      <c r="G8" s="6" t="s">
        <v>399</v>
      </c>
      <c r="H8" s="6" t="s">
        <v>400</v>
      </c>
      <c r="I8" s="6" t="s">
        <v>384</v>
      </c>
      <c r="J8" s="6" t="s">
        <v>385</v>
      </c>
    </row>
    <row r="9" spans="1:10" ht="15.75" customHeight="1" x14ac:dyDescent="0.3">
      <c r="A9" s="7" t="s">
        <v>401</v>
      </c>
      <c r="B9" s="7" t="s">
        <v>402</v>
      </c>
      <c r="C9" s="7" t="s">
        <v>402</v>
      </c>
      <c r="D9" s="7" t="s">
        <v>298</v>
      </c>
      <c r="E9" s="7" t="s">
        <v>403</v>
      </c>
      <c r="F9" s="7" t="s">
        <v>393</v>
      </c>
      <c r="G9" s="7" t="s">
        <v>404</v>
      </c>
      <c r="H9" s="7" t="s">
        <v>405</v>
      </c>
      <c r="I9" s="7" t="s">
        <v>384</v>
      </c>
      <c r="J9" s="7" t="s">
        <v>385</v>
      </c>
    </row>
    <row r="10" spans="1:10" ht="15.75" customHeight="1" x14ac:dyDescent="0.3">
      <c r="A10" s="6" t="s">
        <v>406</v>
      </c>
      <c r="B10" s="6" t="s">
        <v>407</v>
      </c>
      <c r="C10" s="6" t="s">
        <v>408</v>
      </c>
      <c r="D10" s="6" t="s">
        <v>307</v>
      </c>
      <c r="E10" s="6" t="s">
        <v>409</v>
      </c>
      <c r="F10" s="6"/>
      <c r="G10" s="6" t="s">
        <v>410</v>
      </c>
      <c r="H10" s="6" t="s">
        <v>405</v>
      </c>
      <c r="I10" s="6" t="s">
        <v>384</v>
      </c>
      <c r="J10" s="6" t="s">
        <v>385</v>
      </c>
    </row>
    <row r="11" spans="1:10" ht="15.75" customHeight="1" x14ac:dyDescent="0.3">
      <c r="A11" s="7" t="s">
        <v>411</v>
      </c>
      <c r="B11" s="7" t="s">
        <v>412</v>
      </c>
      <c r="C11" s="7" t="s">
        <v>413</v>
      </c>
      <c r="D11" s="7" t="s">
        <v>307</v>
      </c>
      <c r="E11" s="7" t="s">
        <v>414</v>
      </c>
      <c r="F11" s="7"/>
      <c r="G11" s="7" t="s">
        <v>415</v>
      </c>
      <c r="H11" s="7" t="s">
        <v>405</v>
      </c>
      <c r="I11" s="7" t="s">
        <v>384</v>
      </c>
      <c r="J11" s="7" t="s">
        <v>385</v>
      </c>
    </row>
    <row r="12" spans="1:10" ht="15.75" customHeight="1" x14ac:dyDescent="0.3">
      <c r="A12" s="6" t="s">
        <v>416</v>
      </c>
      <c r="B12" s="6" t="s">
        <v>417</v>
      </c>
      <c r="C12" s="6" t="s">
        <v>418</v>
      </c>
      <c r="D12" s="6" t="s">
        <v>419</v>
      </c>
      <c r="E12" s="6" t="s">
        <v>420</v>
      </c>
      <c r="F12" s="6"/>
      <c r="G12" s="6" t="s">
        <v>421</v>
      </c>
      <c r="H12" s="6" t="s">
        <v>405</v>
      </c>
      <c r="I12" s="6" t="s">
        <v>422</v>
      </c>
      <c r="J12" s="6" t="s">
        <v>423</v>
      </c>
    </row>
    <row r="13" spans="1:10" ht="15.75" customHeight="1" x14ac:dyDescent="0.3">
      <c r="A13" s="7" t="s">
        <v>424</v>
      </c>
      <c r="B13" s="7" t="s">
        <v>425</v>
      </c>
      <c r="C13" s="7" t="s">
        <v>426</v>
      </c>
      <c r="D13" s="7" t="s">
        <v>298</v>
      </c>
      <c r="E13" s="7" t="s">
        <v>427</v>
      </c>
      <c r="F13" s="7"/>
      <c r="G13" s="7" t="s">
        <v>428</v>
      </c>
      <c r="H13" s="7" t="s">
        <v>400</v>
      </c>
      <c r="I13" s="7" t="s">
        <v>429</v>
      </c>
      <c r="J13" s="7" t="s">
        <v>430</v>
      </c>
    </row>
    <row r="14" spans="1:10" ht="15.75" customHeight="1" x14ac:dyDescent="0.3">
      <c r="A14" s="6" t="s">
        <v>431</v>
      </c>
      <c r="B14" s="6" t="s">
        <v>432</v>
      </c>
      <c r="C14" s="6" t="s">
        <v>433</v>
      </c>
      <c r="D14" s="6" t="s">
        <v>298</v>
      </c>
      <c r="E14" s="6" t="s">
        <v>434</v>
      </c>
      <c r="F14" s="6"/>
      <c r="G14" s="6" t="s">
        <v>435</v>
      </c>
      <c r="H14" s="6" t="s">
        <v>436</v>
      </c>
      <c r="I14" s="6" t="s">
        <v>384</v>
      </c>
      <c r="J14" s="6" t="s">
        <v>385</v>
      </c>
    </row>
    <row r="15" spans="1:10" ht="15.75" customHeight="1" x14ac:dyDescent="0.3">
      <c r="A15" s="7" t="s">
        <v>437</v>
      </c>
      <c r="B15" s="7" t="s">
        <v>426</v>
      </c>
      <c r="C15" s="7" t="s">
        <v>433</v>
      </c>
      <c r="D15" s="7" t="s">
        <v>298</v>
      </c>
      <c r="E15" s="7" t="s">
        <v>438</v>
      </c>
      <c r="F15" s="7"/>
      <c r="G15" s="7" t="s">
        <v>439</v>
      </c>
      <c r="H15" s="7" t="s">
        <v>436</v>
      </c>
      <c r="I15" s="7" t="s">
        <v>384</v>
      </c>
      <c r="J15" s="7" t="s">
        <v>385</v>
      </c>
    </row>
    <row r="16" spans="1:10" ht="15.75" customHeight="1" x14ac:dyDescent="0.3">
      <c r="A16" s="6" t="s">
        <v>440</v>
      </c>
      <c r="B16" s="6" t="s">
        <v>441</v>
      </c>
      <c r="C16" s="6" t="s">
        <v>442</v>
      </c>
      <c r="D16" s="6" t="s">
        <v>298</v>
      </c>
      <c r="E16" s="6" t="s">
        <v>443</v>
      </c>
      <c r="F16" s="6"/>
      <c r="G16" s="6" t="s">
        <v>444</v>
      </c>
      <c r="H16" s="6" t="s">
        <v>445</v>
      </c>
      <c r="I16" s="6" t="s">
        <v>446</v>
      </c>
      <c r="J16" s="6" t="s">
        <v>423</v>
      </c>
    </row>
    <row r="17" spans="1:10" ht="15.75" customHeight="1" x14ac:dyDescent="0.3">
      <c r="A17" s="7" t="s">
        <v>447</v>
      </c>
      <c r="B17" s="7" t="s">
        <v>442</v>
      </c>
      <c r="C17" s="7" t="s">
        <v>448</v>
      </c>
      <c r="D17" s="7" t="s">
        <v>298</v>
      </c>
      <c r="E17" s="7" t="s">
        <v>449</v>
      </c>
      <c r="F17" s="7"/>
      <c r="G17" s="7" t="s">
        <v>450</v>
      </c>
      <c r="H17" s="7" t="s">
        <v>451</v>
      </c>
      <c r="I17" s="7" t="s">
        <v>384</v>
      </c>
      <c r="J17" s="7" t="s">
        <v>385</v>
      </c>
    </row>
    <row r="18" spans="1:10" ht="15.75" customHeight="1" x14ac:dyDescent="0.3">
      <c r="A18" s="6" t="s">
        <v>452</v>
      </c>
      <c r="B18" s="6" t="s">
        <v>391</v>
      </c>
      <c r="C18" s="6" t="s">
        <v>453</v>
      </c>
      <c r="D18" s="6" t="s">
        <v>298</v>
      </c>
      <c r="E18" s="6" t="s">
        <v>454</v>
      </c>
      <c r="F18" s="6" t="s">
        <v>455</v>
      </c>
      <c r="G18" s="6" t="s">
        <v>456</v>
      </c>
      <c r="H18" s="6" t="s">
        <v>436</v>
      </c>
      <c r="I18" s="6" t="s">
        <v>384</v>
      </c>
      <c r="J18" s="6" t="s">
        <v>385</v>
      </c>
    </row>
    <row r="19" spans="1:10" ht="15.75" customHeight="1" x14ac:dyDescent="0.3">
      <c r="A19" s="7" t="s">
        <v>457</v>
      </c>
      <c r="B19" s="7" t="s">
        <v>441</v>
      </c>
      <c r="C19" s="7" t="s">
        <v>458</v>
      </c>
      <c r="D19" s="7" t="s">
        <v>459</v>
      </c>
      <c r="E19" s="7" t="s">
        <v>460</v>
      </c>
      <c r="F19" s="7" t="s">
        <v>461</v>
      </c>
      <c r="G19" s="7" t="s">
        <v>462</v>
      </c>
      <c r="H19" s="7" t="s">
        <v>463</v>
      </c>
      <c r="I19" s="7" t="s">
        <v>464</v>
      </c>
      <c r="J19" s="7" t="s">
        <v>423</v>
      </c>
    </row>
    <row r="20" spans="1:10" ht="15.75" customHeight="1" x14ac:dyDescent="0.3">
      <c r="A20" s="6" t="s">
        <v>465</v>
      </c>
      <c r="B20" s="6" t="s">
        <v>413</v>
      </c>
      <c r="C20" s="6" t="s">
        <v>397</v>
      </c>
      <c r="D20" s="6" t="s">
        <v>298</v>
      </c>
      <c r="E20" s="6" t="s">
        <v>466</v>
      </c>
      <c r="F20" s="6"/>
      <c r="G20" s="6" t="s">
        <v>467</v>
      </c>
      <c r="H20" s="6" t="s">
        <v>223</v>
      </c>
      <c r="I20" s="6" t="s">
        <v>384</v>
      </c>
      <c r="J20" s="6" t="s">
        <v>385</v>
      </c>
    </row>
    <row r="21" spans="1:10" ht="15.75" customHeight="1" x14ac:dyDescent="0.3">
      <c r="A21" s="7" t="s">
        <v>468</v>
      </c>
      <c r="B21" s="7" t="s">
        <v>441</v>
      </c>
      <c r="C21" s="7" t="s">
        <v>469</v>
      </c>
      <c r="D21" s="7" t="s">
        <v>298</v>
      </c>
      <c r="E21" s="7" t="s">
        <v>470</v>
      </c>
      <c r="F21" s="7"/>
      <c r="G21" s="7" t="s">
        <v>471</v>
      </c>
      <c r="H21" s="7" t="s">
        <v>472</v>
      </c>
      <c r="I21" s="7" t="s">
        <v>384</v>
      </c>
      <c r="J21" s="7" t="s">
        <v>385</v>
      </c>
    </row>
    <row r="22" spans="1:10" ht="15.75" customHeight="1" x14ac:dyDescent="0.3">
      <c r="A22" s="6" t="s">
        <v>473</v>
      </c>
      <c r="B22" s="6" t="s">
        <v>474</v>
      </c>
      <c r="C22" s="6" t="s">
        <v>475</v>
      </c>
      <c r="D22" s="6" t="s">
        <v>307</v>
      </c>
      <c r="E22" s="6" t="s">
        <v>476</v>
      </c>
      <c r="F22" s="6"/>
      <c r="G22" s="6" t="s">
        <v>477</v>
      </c>
      <c r="H22" s="6" t="s">
        <v>472</v>
      </c>
      <c r="I22" s="6" t="s">
        <v>384</v>
      </c>
      <c r="J22" s="6" t="s">
        <v>385</v>
      </c>
    </row>
    <row r="23" spans="1:10" ht="15.75" customHeight="1" x14ac:dyDescent="0.3">
      <c r="A23" s="7" t="s">
        <v>478</v>
      </c>
      <c r="B23" s="7" t="s">
        <v>441</v>
      </c>
      <c r="C23" s="7" t="s">
        <v>479</v>
      </c>
      <c r="D23" s="7" t="s">
        <v>480</v>
      </c>
      <c r="E23" s="7" t="s">
        <v>481</v>
      </c>
      <c r="F23" s="7" t="s">
        <v>461</v>
      </c>
      <c r="G23" s="7" t="s">
        <v>482</v>
      </c>
      <c r="H23" s="7" t="s">
        <v>483</v>
      </c>
      <c r="I23" s="7" t="s">
        <v>464</v>
      </c>
      <c r="J23" s="7" t="s">
        <v>423</v>
      </c>
    </row>
    <row r="24" spans="1:10" ht="15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ht="15.75" customHeight="1" x14ac:dyDescent="0.3">
      <c r="A25" s="15" t="s">
        <v>484</v>
      </c>
      <c r="B25" s="15"/>
      <c r="C25" s="15"/>
      <c r="D25" s="15"/>
      <c r="E25" s="15"/>
      <c r="F25" s="15"/>
      <c r="G25" s="15"/>
      <c r="H25" s="15"/>
      <c r="I25" s="15"/>
      <c r="J25" s="15"/>
    </row>
    <row r="26" spans="1:10" ht="15.75" customHeight="1" x14ac:dyDescent="0.3">
      <c r="A26" s="6" t="s">
        <v>485</v>
      </c>
      <c r="B26" s="6" t="s">
        <v>486</v>
      </c>
      <c r="C26" s="6" t="s">
        <v>379</v>
      </c>
      <c r="D26" s="6" t="s">
        <v>298</v>
      </c>
      <c r="E26" s="6" t="s">
        <v>487</v>
      </c>
      <c r="F26" s="6" t="s">
        <v>488</v>
      </c>
      <c r="G26" s="6" t="s">
        <v>489</v>
      </c>
      <c r="H26" s="6" t="s">
        <v>490</v>
      </c>
      <c r="I26" s="6" t="s">
        <v>491</v>
      </c>
      <c r="J26" s="6" t="s">
        <v>357</v>
      </c>
    </row>
    <row r="27" spans="1:10" ht="15.75" customHeight="1" x14ac:dyDescent="0.3">
      <c r="A27" s="7" t="s">
        <v>492</v>
      </c>
      <c r="B27" s="7" t="s">
        <v>387</v>
      </c>
      <c r="C27" s="7" t="s">
        <v>493</v>
      </c>
      <c r="D27" s="7" t="s">
        <v>298</v>
      </c>
      <c r="E27" s="7" t="s">
        <v>494</v>
      </c>
      <c r="F27" s="7" t="s">
        <v>495</v>
      </c>
      <c r="G27" s="7" t="s">
        <v>496</v>
      </c>
      <c r="H27" s="7" t="s">
        <v>497</v>
      </c>
      <c r="I27" s="7" t="s">
        <v>498</v>
      </c>
      <c r="J27" s="7" t="s">
        <v>357</v>
      </c>
    </row>
    <row r="28" spans="1:10" ht="15.75" customHeight="1" x14ac:dyDescent="0.3">
      <c r="A28" s="6" t="s">
        <v>499</v>
      </c>
      <c r="B28" s="6" t="s">
        <v>500</v>
      </c>
      <c r="C28" s="6" t="s">
        <v>442</v>
      </c>
      <c r="D28" s="6" t="s">
        <v>298</v>
      </c>
      <c r="E28" s="6" t="s">
        <v>501</v>
      </c>
      <c r="F28" s="6" t="s">
        <v>502</v>
      </c>
      <c r="G28" s="6" t="s">
        <v>503</v>
      </c>
      <c r="H28" s="6" t="s">
        <v>497</v>
      </c>
      <c r="I28" s="6" t="s">
        <v>504</v>
      </c>
      <c r="J28" s="6" t="s">
        <v>357</v>
      </c>
    </row>
    <row r="29" spans="1:10" ht="15.75" customHeight="1" x14ac:dyDescent="0.3">
      <c r="A29" s="7" t="s">
        <v>505</v>
      </c>
      <c r="B29" s="7" t="s">
        <v>506</v>
      </c>
      <c r="C29" s="7" t="s">
        <v>507</v>
      </c>
      <c r="D29" s="7" t="s">
        <v>298</v>
      </c>
      <c r="E29" s="7" t="s">
        <v>508</v>
      </c>
      <c r="F29" s="7" t="s">
        <v>509</v>
      </c>
      <c r="G29" s="7" t="s">
        <v>510</v>
      </c>
      <c r="H29" s="7" t="s">
        <v>497</v>
      </c>
      <c r="I29" s="7" t="s">
        <v>498</v>
      </c>
      <c r="J29" s="7" t="s">
        <v>357</v>
      </c>
    </row>
    <row r="30" spans="1:10" ht="15.75" customHeight="1" x14ac:dyDescent="0.3">
      <c r="A30" s="6" t="s">
        <v>511</v>
      </c>
      <c r="B30" s="6" t="s">
        <v>512</v>
      </c>
      <c r="C30" s="6" t="s">
        <v>513</v>
      </c>
      <c r="D30" s="6" t="s">
        <v>514</v>
      </c>
      <c r="E30" s="6" t="s">
        <v>515</v>
      </c>
      <c r="F30" s="6" t="s">
        <v>516</v>
      </c>
      <c r="G30" s="6" t="s">
        <v>517</v>
      </c>
      <c r="H30" s="6" t="s">
        <v>518</v>
      </c>
      <c r="I30" s="6" t="s">
        <v>491</v>
      </c>
      <c r="J30" s="6" t="s">
        <v>357</v>
      </c>
    </row>
    <row r="31" spans="1:10" ht="15.75" customHeight="1" x14ac:dyDescent="0.3">
      <c r="A31" s="7" t="s">
        <v>519</v>
      </c>
      <c r="B31" s="7" t="s">
        <v>520</v>
      </c>
      <c r="C31" s="7" t="s">
        <v>521</v>
      </c>
      <c r="D31" s="7" t="s">
        <v>522</v>
      </c>
      <c r="E31" s="7" t="s">
        <v>523</v>
      </c>
      <c r="F31" s="7" t="s">
        <v>524</v>
      </c>
      <c r="G31" s="7" t="s">
        <v>525</v>
      </c>
      <c r="H31" s="7" t="s">
        <v>518</v>
      </c>
      <c r="I31" s="7" t="s">
        <v>491</v>
      </c>
      <c r="J31" s="7" t="s">
        <v>357</v>
      </c>
    </row>
    <row r="32" spans="1:10" ht="15.75" customHeight="1" x14ac:dyDescent="0.3">
      <c r="A32" s="6" t="s">
        <v>526</v>
      </c>
      <c r="B32" s="6" t="s">
        <v>527</v>
      </c>
      <c r="C32" s="6" t="s">
        <v>528</v>
      </c>
      <c r="D32" s="6" t="s">
        <v>307</v>
      </c>
      <c r="E32" s="6" t="s">
        <v>529</v>
      </c>
      <c r="F32" s="6" t="s">
        <v>530</v>
      </c>
      <c r="G32" s="6" t="s">
        <v>531</v>
      </c>
      <c r="H32" s="6" t="s">
        <v>532</v>
      </c>
      <c r="I32" s="6" t="s">
        <v>491</v>
      </c>
      <c r="J32" s="6" t="s">
        <v>357</v>
      </c>
    </row>
    <row r="33" spans="1:10" ht="15.75" customHeight="1" x14ac:dyDescent="0.3">
      <c r="A33" s="7" t="s">
        <v>533</v>
      </c>
      <c r="B33" s="7" t="s">
        <v>534</v>
      </c>
      <c r="C33" s="7" t="s">
        <v>412</v>
      </c>
      <c r="D33" s="7" t="s">
        <v>307</v>
      </c>
      <c r="E33" s="7" t="s">
        <v>535</v>
      </c>
      <c r="F33" s="7" t="s">
        <v>536</v>
      </c>
      <c r="G33" s="7" t="s">
        <v>518</v>
      </c>
      <c r="H33" s="7" t="s">
        <v>518</v>
      </c>
      <c r="I33" s="7" t="s">
        <v>537</v>
      </c>
      <c r="J33" s="7" t="s">
        <v>357</v>
      </c>
    </row>
    <row r="34" spans="1:10" ht="15.75" customHeight="1" x14ac:dyDescent="0.3">
      <c r="A34" s="6" t="s">
        <v>538</v>
      </c>
      <c r="B34" s="6" t="s">
        <v>539</v>
      </c>
      <c r="C34" s="6" t="s">
        <v>534</v>
      </c>
      <c r="D34" s="6" t="s">
        <v>307</v>
      </c>
      <c r="E34" s="6" t="s">
        <v>540</v>
      </c>
      <c r="F34" s="6" t="s">
        <v>541</v>
      </c>
      <c r="G34" s="6" t="s">
        <v>518</v>
      </c>
      <c r="H34" s="6" t="s">
        <v>518</v>
      </c>
      <c r="I34" s="6" t="s">
        <v>537</v>
      </c>
      <c r="J34" s="6" t="s">
        <v>357</v>
      </c>
    </row>
    <row r="35" spans="1:10" ht="15.7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 ht="15.75" customHeight="1" x14ac:dyDescent="0.3">
      <c r="A36" s="14" t="s">
        <v>542</v>
      </c>
      <c r="B36" s="14"/>
      <c r="C36" s="14"/>
      <c r="D36" s="14"/>
      <c r="E36" s="14"/>
      <c r="F36" s="14"/>
      <c r="G36" s="14"/>
      <c r="H36" s="14"/>
      <c r="I36" s="14"/>
      <c r="J36" s="14"/>
    </row>
    <row r="37" spans="1:10" ht="15.75" customHeight="1" x14ac:dyDescent="0.3">
      <c r="A37" s="7" t="s">
        <v>543</v>
      </c>
      <c r="B37" s="7"/>
      <c r="C37" s="7" t="s">
        <v>313</v>
      </c>
      <c r="D37" s="7" t="s">
        <v>298</v>
      </c>
      <c r="E37" s="7" t="s">
        <v>544</v>
      </c>
      <c r="F37" s="7" t="s">
        <v>545</v>
      </c>
      <c r="G37" s="7" t="s">
        <v>546</v>
      </c>
      <c r="H37" s="7" t="s">
        <v>128</v>
      </c>
      <c r="I37" s="7" t="s">
        <v>547</v>
      </c>
      <c r="J37" s="7" t="s">
        <v>357</v>
      </c>
    </row>
    <row r="38" spans="1:10" ht="15.75" customHeight="1" x14ac:dyDescent="0.3">
      <c r="A38" s="6" t="s">
        <v>548</v>
      </c>
      <c r="B38" s="6"/>
      <c r="C38" s="6" t="s">
        <v>98</v>
      </c>
      <c r="D38" s="6" t="s">
        <v>298</v>
      </c>
      <c r="E38" s="6" t="s">
        <v>549</v>
      </c>
      <c r="F38" s="6" t="s">
        <v>550</v>
      </c>
      <c r="G38" s="6"/>
      <c r="H38" s="6" t="s">
        <v>128</v>
      </c>
      <c r="I38" s="6" t="s">
        <v>547</v>
      </c>
      <c r="J38" s="6" t="s">
        <v>357</v>
      </c>
    </row>
    <row r="39" spans="1:10" ht="15.75" customHeight="1" x14ac:dyDescent="0.3">
      <c r="A39" s="7" t="s">
        <v>551</v>
      </c>
      <c r="B39" s="7"/>
      <c r="C39" s="7" t="s">
        <v>359</v>
      </c>
      <c r="D39" s="7" t="s">
        <v>298</v>
      </c>
      <c r="E39" s="7" t="s">
        <v>552</v>
      </c>
      <c r="F39" s="7" t="s">
        <v>553</v>
      </c>
      <c r="G39" s="7"/>
      <c r="H39" s="7" t="s">
        <v>128</v>
      </c>
      <c r="I39" s="7" t="s">
        <v>547</v>
      </c>
      <c r="J39" s="7" t="s">
        <v>357</v>
      </c>
    </row>
    <row r="40" spans="1:10" ht="15.75" customHeight="1" x14ac:dyDescent="0.3">
      <c r="A40" s="6" t="s">
        <v>554</v>
      </c>
      <c r="B40" s="6"/>
      <c r="C40" s="6" t="s">
        <v>313</v>
      </c>
      <c r="D40" s="6" t="s">
        <v>307</v>
      </c>
      <c r="E40" s="6" t="s">
        <v>555</v>
      </c>
      <c r="F40" s="6" t="s">
        <v>556</v>
      </c>
      <c r="G40" s="6"/>
      <c r="H40" s="6" t="s">
        <v>128</v>
      </c>
      <c r="I40" s="6" t="s">
        <v>547</v>
      </c>
      <c r="J40" s="6" t="s">
        <v>357</v>
      </c>
    </row>
    <row r="41" spans="1:10" ht="15.75" customHeight="1" x14ac:dyDescent="0.3">
      <c r="A41" s="7" t="s">
        <v>557</v>
      </c>
      <c r="B41" s="7"/>
      <c r="C41" s="7" t="s">
        <v>558</v>
      </c>
      <c r="D41" s="7" t="s">
        <v>307</v>
      </c>
      <c r="E41" s="7" t="s">
        <v>559</v>
      </c>
      <c r="F41" s="7" t="s">
        <v>560</v>
      </c>
      <c r="G41" s="7"/>
      <c r="H41" s="7" t="s">
        <v>128</v>
      </c>
      <c r="I41" s="7" t="s">
        <v>547</v>
      </c>
      <c r="J41" s="7" t="s">
        <v>357</v>
      </c>
    </row>
    <row r="42" spans="1:10" ht="15.75" customHeight="1" x14ac:dyDescent="0.3">
      <c r="A42" s="6" t="s">
        <v>561</v>
      </c>
      <c r="B42" s="6"/>
      <c r="C42" s="6" t="s">
        <v>562</v>
      </c>
      <c r="D42" s="6" t="s">
        <v>307</v>
      </c>
      <c r="E42" s="6" t="s">
        <v>563</v>
      </c>
      <c r="F42" s="6" t="s">
        <v>564</v>
      </c>
      <c r="G42" s="6"/>
      <c r="H42" s="6" t="s">
        <v>128</v>
      </c>
      <c r="I42" s="6" t="s">
        <v>547</v>
      </c>
      <c r="J42" s="6" t="s">
        <v>357</v>
      </c>
    </row>
    <row r="43" spans="1:10" ht="15.75" customHeight="1" x14ac:dyDescent="0.3">
      <c r="A43" s="7" t="s">
        <v>565</v>
      </c>
      <c r="B43" s="7"/>
      <c r="C43" s="7" t="s">
        <v>566</v>
      </c>
      <c r="D43" s="7" t="s">
        <v>480</v>
      </c>
      <c r="E43" s="7" t="s">
        <v>567</v>
      </c>
      <c r="F43" s="7" t="s">
        <v>568</v>
      </c>
      <c r="G43" s="7" t="s">
        <v>569</v>
      </c>
      <c r="H43" s="7" t="s">
        <v>128</v>
      </c>
      <c r="I43" s="7" t="s">
        <v>570</v>
      </c>
      <c r="J43" s="7" t="s">
        <v>357</v>
      </c>
    </row>
    <row r="44" spans="1:10" ht="15.75" customHeight="1" x14ac:dyDescent="0.3">
      <c r="A44" s="6" t="s">
        <v>571</v>
      </c>
      <c r="B44" s="6"/>
      <c r="C44" s="6" t="s">
        <v>313</v>
      </c>
      <c r="D44" s="6" t="s">
        <v>572</v>
      </c>
      <c r="E44" s="6" t="s">
        <v>573</v>
      </c>
      <c r="F44" s="6" t="s">
        <v>574</v>
      </c>
      <c r="G44" s="6"/>
      <c r="H44" s="6" t="s">
        <v>128</v>
      </c>
      <c r="I44" s="6" t="s">
        <v>547</v>
      </c>
      <c r="J44" s="6" t="s">
        <v>357</v>
      </c>
    </row>
    <row r="45" spans="1:10" ht="15.75" customHeight="1" x14ac:dyDescent="0.3">
      <c r="A45" s="7" t="s">
        <v>575</v>
      </c>
      <c r="B45" s="7"/>
      <c r="C45" s="7" t="s">
        <v>313</v>
      </c>
      <c r="D45" s="7" t="s">
        <v>576</v>
      </c>
      <c r="E45" s="7" t="s">
        <v>577</v>
      </c>
      <c r="F45" s="7" t="s">
        <v>578</v>
      </c>
      <c r="G45" s="7"/>
      <c r="H45" s="7" t="s">
        <v>128</v>
      </c>
      <c r="I45" s="7" t="s">
        <v>547</v>
      </c>
      <c r="J45" s="7" t="s">
        <v>357</v>
      </c>
    </row>
    <row r="46" spans="1:10" ht="15.75" customHeight="1" x14ac:dyDescent="0.3">
      <c r="A46" s="6" t="s">
        <v>579</v>
      </c>
      <c r="B46" s="6"/>
      <c r="C46" s="6" t="s">
        <v>313</v>
      </c>
      <c r="D46" s="6" t="s">
        <v>514</v>
      </c>
      <c r="E46" s="6" t="s">
        <v>580</v>
      </c>
      <c r="F46" s="6" t="s">
        <v>581</v>
      </c>
      <c r="G46" s="6"/>
      <c r="H46" s="6" t="s">
        <v>128</v>
      </c>
      <c r="I46" s="6" t="s">
        <v>547</v>
      </c>
      <c r="J46" s="6" t="s">
        <v>357</v>
      </c>
    </row>
    <row r="47" spans="1:10" ht="15.75" customHeight="1" x14ac:dyDescent="0.3">
      <c r="A47" s="7" t="s">
        <v>582</v>
      </c>
      <c r="B47" s="7"/>
      <c r="C47" s="7" t="s">
        <v>313</v>
      </c>
      <c r="D47" s="7" t="s">
        <v>583</v>
      </c>
      <c r="E47" s="7" t="s">
        <v>584</v>
      </c>
      <c r="F47" s="7" t="s">
        <v>585</v>
      </c>
      <c r="G47" s="7"/>
      <c r="H47" s="7" t="s">
        <v>128</v>
      </c>
      <c r="I47" s="7" t="s">
        <v>547</v>
      </c>
      <c r="J47" s="7" t="s">
        <v>357</v>
      </c>
    </row>
    <row r="48" spans="1:10" ht="15.75" customHeight="1" x14ac:dyDescent="0.3">
      <c r="A48" s="6" t="s">
        <v>586</v>
      </c>
      <c r="B48" s="6"/>
      <c r="C48" s="6" t="s">
        <v>313</v>
      </c>
      <c r="D48" s="6" t="s">
        <v>98</v>
      </c>
      <c r="E48" s="6" t="s">
        <v>587</v>
      </c>
      <c r="F48" s="6" t="s">
        <v>588</v>
      </c>
      <c r="G48" s="6"/>
      <c r="H48" s="6" t="s">
        <v>128</v>
      </c>
      <c r="I48" s="6" t="s">
        <v>547</v>
      </c>
      <c r="J48" s="6" t="s">
        <v>357</v>
      </c>
    </row>
    <row r="49" spans="1:10" ht="15.7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 ht="15.75" customHeight="1" x14ac:dyDescent="0.3">
      <c r="A50" s="14" t="s">
        <v>589</v>
      </c>
      <c r="B50" s="14"/>
      <c r="C50" s="14"/>
      <c r="D50" s="14"/>
      <c r="E50" s="14"/>
      <c r="F50" s="14"/>
      <c r="G50" s="14"/>
      <c r="H50" s="14"/>
      <c r="I50" s="14"/>
      <c r="J50" s="14"/>
    </row>
    <row r="51" spans="1:10" ht="15.75" customHeight="1" x14ac:dyDescent="0.3">
      <c r="A51" s="7" t="s">
        <v>590</v>
      </c>
      <c r="B51" s="7" t="s">
        <v>425</v>
      </c>
      <c r="C51" s="7" t="s">
        <v>591</v>
      </c>
      <c r="D51" s="7" t="s">
        <v>298</v>
      </c>
      <c r="E51" s="7" t="s">
        <v>592</v>
      </c>
      <c r="F51" s="7"/>
      <c r="G51" s="7" t="s">
        <v>593</v>
      </c>
      <c r="H51" s="7" t="s">
        <v>436</v>
      </c>
      <c r="I51" s="7" t="s">
        <v>594</v>
      </c>
      <c r="J51" s="7" t="s">
        <v>595</v>
      </c>
    </row>
    <row r="52" spans="1:10" ht="15.75" customHeight="1" x14ac:dyDescent="0.3">
      <c r="A52" s="6" t="s">
        <v>596</v>
      </c>
      <c r="B52" s="6" t="s">
        <v>425</v>
      </c>
      <c r="C52" s="6" t="s">
        <v>425</v>
      </c>
      <c r="D52" s="6" t="s">
        <v>298</v>
      </c>
      <c r="E52" s="6" t="s">
        <v>597</v>
      </c>
      <c r="F52" s="6" t="s">
        <v>334</v>
      </c>
      <c r="G52" s="6" t="s">
        <v>598</v>
      </c>
      <c r="H52" s="6" t="s">
        <v>436</v>
      </c>
      <c r="I52" s="6" t="s">
        <v>599</v>
      </c>
      <c r="J52" s="6" t="s">
        <v>600</v>
      </c>
    </row>
    <row r="53" spans="1:10" ht="15.75" customHeight="1" x14ac:dyDescent="0.3">
      <c r="A53" s="7" t="s">
        <v>601</v>
      </c>
      <c r="B53" s="7" t="s">
        <v>441</v>
      </c>
      <c r="C53" s="7" t="s">
        <v>441</v>
      </c>
      <c r="D53" s="7" t="s">
        <v>602</v>
      </c>
      <c r="E53" s="7" t="s">
        <v>597</v>
      </c>
      <c r="F53" s="7" t="s">
        <v>334</v>
      </c>
      <c r="G53" s="7" t="s">
        <v>603</v>
      </c>
      <c r="H53" s="7" t="s">
        <v>436</v>
      </c>
      <c r="I53" s="7" t="s">
        <v>599</v>
      </c>
      <c r="J53" s="7" t="s">
        <v>600</v>
      </c>
    </row>
    <row r="54" spans="1:10" ht="15.75" customHeight="1" x14ac:dyDescent="0.3">
      <c r="A54" s="6" t="s">
        <v>604</v>
      </c>
      <c r="B54" s="6" t="s">
        <v>605</v>
      </c>
      <c r="C54" s="6" t="s">
        <v>605</v>
      </c>
      <c r="D54" s="6" t="s">
        <v>298</v>
      </c>
      <c r="E54" s="6" t="s">
        <v>606</v>
      </c>
      <c r="F54" s="6" t="s">
        <v>607</v>
      </c>
      <c r="G54" s="6" t="s">
        <v>608</v>
      </c>
      <c r="H54" s="6" t="s">
        <v>405</v>
      </c>
      <c r="I54" s="6" t="s">
        <v>384</v>
      </c>
      <c r="J54" s="6" t="s">
        <v>600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7"/>
  <sheetViews>
    <sheetView zoomScaleNormal="100" workbookViewId="0">
      <pane ySplit="3" topLeftCell="A4" activePane="bottomLeft" state="frozen"/>
      <selection pane="bottomLeft" activeCell="A4" sqref="A4:XFD4"/>
    </sheetView>
  </sheetViews>
  <sheetFormatPr baseColWidth="10" defaultColWidth="8.6640625" defaultRowHeight="14.4" x14ac:dyDescent="0.3"/>
  <cols>
    <col min="1" max="1" width="60.33203125" bestFit="1" customWidth="1"/>
    <col min="2" max="2" width="22" customWidth="1"/>
    <col min="3" max="3" width="18" customWidth="1"/>
    <col min="4" max="4" width="14" customWidth="1"/>
    <col min="5" max="5" width="25" customWidth="1"/>
    <col min="6" max="6" width="18" customWidth="1"/>
    <col min="7" max="7" width="22" customWidth="1"/>
    <col min="8" max="8" width="12" customWidth="1"/>
    <col min="9" max="9" width="45" customWidth="1"/>
  </cols>
  <sheetData>
    <row r="1" spans="1:9" ht="21.75" customHeight="1" x14ac:dyDescent="0.3">
      <c r="A1" s="4" t="s">
        <v>609</v>
      </c>
      <c r="B1" s="4"/>
      <c r="C1" s="4"/>
      <c r="D1" s="4"/>
      <c r="E1" s="4"/>
      <c r="F1" s="4"/>
      <c r="G1" s="4"/>
      <c r="H1" s="4"/>
      <c r="I1" s="4"/>
    </row>
    <row r="2" spans="1:9" ht="30" customHeight="1" x14ac:dyDescent="0.3">
      <c r="A2" s="3" t="s">
        <v>610</v>
      </c>
      <c r="B2" s="3"/>
      <c r="C2" s="3"/>
      <c r="D2" s="3"/>
      <c r="E2" s="3"/>
      <c r="F2" s="3"/>
      <c r="G2" s="3"/>
      <c r="H2" s="3"/>
      <c r="I2" s="3"/>
    </row>
    <row r="3" spans="1:9" ht="30" customHeight="1" x14ac:dyDescent="0.3">
      <c r="A3" s="5" t="s">
        <v>611</v>
      </c>
      <c r="B3" s="5" t="s">
        <v>612</v>
      </c>
      <c r="C3" s="5" t="s">
        <v>4</v>
      </c>
      <c r="D3" s="5" t="s">
        <v>244</v>
      </c>
      <c r="E3" s="5" t="s">
        <v>9</v>
      </c>
      <c r="F3" s="5" t="s">
        <v>613</v>
      </c>
      <c r="G3" s="5" t="s">
        <v>10</v>
      </c>
      <c r="H3" s="5" t="s">
        <v>255</v>
      </c>
      <c r="I3" s="5" t="s">
        <v>614</v>
      </c>
    </row>
    <row r="4" spans="1:9" ht="15.75" customHeight="1" x14ac:dyDescent="0.3">
      <c r="A4" s="7" t="s">
        <v>615</v>
      </c>
      <c r="B4" s="7" t="s">
        <v>616</v>
      </c>
      <c r="C4" s="7" t="s">
        <v>617</v>
      </c>
      <c r="D4" s="7">
        <v>235</v>
      </c>
      <c r="E4" s="7" t="s">
        <v>618</v>
      </c>
      <c r="F4" s="7" t="s">
        <v>619</v>
      </c>
      <c r="G4" s="7" t="s">
        <v>620</v>
      </c>
      <c r="H4" s="7" t="s">
        <v>219</v>
      </c>
      <c r="I4" s="7" t="s">
        <v>621</v>
      </c>
    </row>
    <row r="5" spans="1:9" ht="15.75" customHeight="1" x14ac:dyDescent="0.3">
      <c r="A5" s="6" t="s">
        <v>622</v>
      </c>
      <c r="B5" s="6" t="s">
        <v>623</v>
      </c>
      <c r="C5" s="6" t="s">
        <v>99</v>
      </c>
      <c r="D5" s="6">
        <v>200</v>
      </c>
      <c r="E5" s="6" t="s">
        <v>624</v>
      </c>
      <c r="F5" s="6" t="s">
        <v>625</v>
      </c>
      <c r="G5" s="6" t="s">
        <v>384</v>
      </c>
      <c r="H5" s="6" t="s">
        <v>219</v>
      </c>
      <c r="I5" s="6" t="s">
        <v>626</v>
      </c>
    </row>
    <row r="6" spans="1:9" ht="15.75" customHeight="1" x14ac:dyDescent="0.3">
      <c r="A6" s="7" t="s">
        <v>627</v>
      </c>
      <c r="B6" s="7" t="s">
        <v>628</v>
      </c>
      <c r="C6" s="7" t="s">
        <v>89</v>
      </c>
      <c r="D6" s="7">
        <v>10</v>
      </c>
      <c r="E6" s="7" t="s">
        <v>90</v>
      </c>
      <c r="F6" s="7" t="s">
        <v>625</v>
      </c>
      <c r="G6" s="7" t="s">
        <v>384</v>
      </c>
      <c r="H6" s="7" t="s">
        <v>219</v>
      </c>
      <c r="I6" s="7" t="s">
        <v>629</v>
      </c>
    </row>
    <row r="7" spans="1:9" ht="15.75" customHeight="1" x14ac:dyDescent="0.3">
      <c r="A7" s="6" t="s">
        <v>630</v>
      </c>
      <c r="B7" s="6" t="s">
        <v>631</v>
      </c>
      <c r="C7" s="6" t="s">
        <v>113</v>
      </c>
      <c r="D7" s="6">
        <v>10</v>
      </c>
      <c r="E7" s="6" t="s">
        <v>24</v>
      </c>
      <c r="F7" s="6" t="s">
        <v>625</v>
      </c>
      <c r="G7" s="6" t="s">
        <v>384</v>
      </c>
      <c r="H7" s="6" t="s">
        <v>219</v>
      </c>
      <c r="I7" s="6" t="s">
        <v>632</v>
      </c>
    </row>
    <row r="8" spans="1:9" ht="15.75" customHeight="1" x14ac:dyDescent="0.3">
      <c r="A8" s="7" t="s">
        <v>633</v>
      </c>
      <c r="B8" s="7" t="s">
        <v>98</v>
      </c>
      <c r="C8" s="7" t="s">
        <v>634</v>
      </c>
      <c r="D8" s="7">
        <v>10</v>
      </c>
      <c r="E8" s="7" t="s">
        <v>635</v>
      </c>
      <c r="F8" s="7" t="s">
        <v>625</v>
      </c>
      <c r="G8" s="7" t="s">
        <v>384</v>
      </c>
      <c r="H8" s="7" t="s">
        <v>219</v>
      </c>
      <c r="I8" s="7" t="s">
        <v>636</v>
      </c>
    </row>
    <row r="9" spans="1:9" ht="15.75" customHeight="1" x14ac:dyDescent="0.3">
      <c r="A9" s="6" t="s">
        <v>637</v>
      </c>
      <c r="B9" s="6" t="s">
        <v>638</v>
      </c>
      <c r="C9" s="6" t="s">
        <v>639</v>
      </c>
      <c r="D9" s="6">
        <v>5</v>
      </c>
      <c r="E9" s="6" t="s">
        <v>640</v>
      </c>
      <c r="F9" s="6" t="s">
        <v>15</v>
      </c>
      <c r="G9" s="6" t="s">
        <v>641</v>
      </c>
      <c r="H9" s="6" t="s">
        <v>642</v>
      </c>
      <c r="I9" s="6" t="s">
        <v>643</v>
      </c>
    </row>
    <row r="10" spans="1:9" ht="15.75" customHeight="1" x14ac:dyDescent="0.3">
      <c r="A10" s="6" t="s">
        <v>644</v>
      </c>
      <c r="B10" s="6" t="s">
        <v>616</v>
      </c>
      <c r="C10" s="6" t="s">
        <v>617</v>
      </c>
      <c r="D10" s="6">
        <v>115</v>
      </c>
      <c r="E10" s="6" t="s">
        <v>66</v>
      </c>
      <c r="F10" s="6" t="s">
        <v>619</v>
      </c>
      <c r="G10" s="6" t="s">
        <v>384</v>
      </c>
      <c r="H10" s="6" t="s">
        <v>400</v>
      </c>
      <c r="I10" s="6" t="s">
        <v>645</v>
      </c>
    </row>
    <row r="11" spans="1:9" ht="15.75" customHeight="1" x14ac:dyDescent="0.3">
      <c r="A11" s="7" t="s">
        <v>646</v>
      </c>
      <c r="B11" s="7" t="s">
        <v>647</v>
      </c>
      <c r="C11" s="7" t="s">
        <v>617</v>
      </c>
      <c r="D11" s="7">
        <v>235</v>
      </c>
      <c r="E11" s="7" t="s">
        <v>648</v>
      </c>
      <c r="F11" s="7" t="s">
        <v>619</v>
      </c>
      <c r="G11" s="7" t="s">
        <v>384</v>
      </c>
      <c r="H11" s="7" t="s">
        <v>400</v>
      </c>
      <c r="I11" s="7" t="s">
        <v>649</v>
      </c>
    </row>
    <row r="12" spans="1:9" ht="15.75" customHeight="1" x14ac:dyDescent="0.3">
      <c r="A12" s="6" t="s">
        <v>650</v>
      </c>
      <c r="B12" s="6" t="s">
        <v>623</v>
      </c>
      <c r="C12" s="6" t="s">
        <v>99</v>
      </c>
      <c r="D12" s="6">
        <v>370</v>
      </c>
      <c r="E12" s="6" t="s">
        <v>624</v>
      </c>
      <c r="F12" s="6" t="s">
        <v>625</v>
      </c>
      <c r="G12" s="6" t="s">
        <v>384</v>
      </c>
      <c r="H12" s="6" t="s">
        <v>400</v>
      </c>
      <c r="I12" s="6" t="s">
        <v>651</v>
      </c>
    </row>
    <row r="13" spans="1:9" ht="15.75" customHeight="1" x14ac:dyDescent="0.3">
      <c r="A13" s="7" t="s">
        <v>627</v>
      </c>
      <c r="B13" s="7" t="s">
        <v>628</v>
      </c>
      <c r="C13" s="7" t="s">
        <v>89</v>
      </c>
      <c r="D13" s="7">
        <v>90</v>
      </c>
      <c r="E13" s="7" t="s">
        <v>90</v>
      </c>
      <c r="F13" s="7" t="s">
        <v>625</v>
      </c>
      <c r="G13" s="7" t="s">
        <v>384</v>
      </c>
      <c r="H13" s="7" t="s">
        <v>400</v>
      </c>
      <c r="I13" s="7" t="s">
        <v>652</v>
      </c>
    </row>
    <row r="14" spans="1:9" ht="15.75" customHeight="1" x14ac:dyDescent="0.3">
      <c r="A14" s="6" t="s">
        <v>630</v>
      </c>
      <c r="B14" s="6" t="s">
        <v>653</v>
      </c>
      <c r="C14" s="6" t="s">
        <v>113</v>
      </c>
      <c r="D14" s="6">
        <v>10</v>
      </c>
      <c r="E14" s="6" t="s">
        <v>24</v>
      </c>
      <c r="F14" s="6" t="s">
        <v>625</v>
      </c>
      <c r="G14" s="6" t="s">
        <v>384</v>
      </c>
      <c r="H14" s="6" t="s">
        <v>400</v>
      </c>
      <c r="I14" s="6"/>
    </row>
    <row r="15" spans="1:9" ht="15.75" customHeight="1" x14ac:dyDescent="0.3">
      <c r="A15" s="7" t="s">
        <v>633</v>
      </c>
      <c r="B15" s="7" t="s">
        <v>98</v>
      </c>
      <c r="C15" s="7" t="s">
        <v>634</v>
      </c>
      <c r="D15" s="7">
        <v>15</v>
      </c>
      <c r="E15" s="7" t="s">
        <v>634</v>
      </c>
      <c r="F15" s="7" t="s">
        <v>625</v>
      </c>
      <c r="G15" s="7" t="s">
        <v>384</v>
      </c>
      <c r="H15" s="7" t="s">
        <v>400</v>
      </c>
      <c r="I15" s="7"/>
    </row>
    <row r="16" spans="1:9" ht="15.75" customHeight="1" x14ac:dyDescent="0.3">
      <c r="A16" s="6" t="s">
        <v>654</v>
      </c>
      <c r="B16" s="6" t="s">
        <v>638</v>
      </c>
      <c r="C16" s="6" t="s">
        <v>639</v>
      </c>
      <c r="D16" s="6">
        <v>100</v>
      </c>
      <c r="E16" s="6" t="s">
        <v>655</v>
      </c>
      <c r="F16" s="6" t="s">
        <v>15</v>
      </c>
      <c r="G16" s="6" t="s">
        <v>641</v>
      </c>
      <c r="H16" s="6" t="s">
        <v>400</v>
      </c>
      <c r="I16" s="6" t="s">
        <v>656</v>
      </c>
    </row>
    <row r="17" spans="1:9" ht="15.75" customHeight="1" x14ac:dyDescent="0.3">
      <c r="A17" s="7" t="s">
        <v>657</v>
      </c>
      <c r="B17" s="7" t="s">
        <v>58</v>
      </c>
      <c r="C17" s="7" t="s">
        <v>59</v>
      </c>
      <c r="D17" s="7">
        <v>68</v>
      </c>
      <c r="E17" s="7" t="s">
        <v>658</v>
      </c>
      <c r="F17" s="7" t="s">
        <v>15</v>
      </c>
      <c r="G17" s="7" t="s">
        <v>384</v>
      </c>
      <c r="H17" s="7" t="s">
        <v>400</v>
      </c>
      <c r="I17" s="7" t="s">
        <v>659</v>
      </c>
    </row>
    <row r="18" spans="1:9" ht="15.75" customHeight="1" x14ac:dyDescent="0.3">
      <c r="A18" s="6" t="s">
        <v>660</v>
      </c>
      <c r="B18" s="6" t="s">
        <v>58</v>
      </c>
      <c r="C18" s="6" t="s">
        <v>59</v>
      </c>
      <c r="D18" s="6">
        <v>72</v>
      </c>
      <c r="E18" s="6" t="s">
        <v>658</v>
      </c>
      <c r="F18" s="6" t="s">
        <v>15</v>
      </c>
      <c r="G18" s="6" t="s">
        <v>384</v>
      </c>
      <c r="H18" s="6" t="s">
        <v>400</v>
      </c>
      <c r="I18" s="6" t="s">
        <v>661</v>
      </c>
    </row>
    <row r="19" spans="1:9" ht="15.75" customHeight="1" x14ac:dyDescent="0.3">
      <c r="A19" s="7" t="s">
        <v>662</v>
      </c>
      <c r="B19" s="7" t="s">
        <v>58</v>
      </c>
      <c r="C19" s="7" t="s">
        <v>59</v>
      </c>
      <c r="D19" s="7">
        <v>62</v>
      </c>
      <c r="E19" s="7" t="s">
        <v>663</v>
      </c>
      <c r="F19" s="7" t="s">
        <v>15</v>
      </c>
      <c r="G19" s="7" t="s">
        <v>384</v>
      </c>
      <c r="H19" s="7" t="s">
        <v>400</v>
      </c>
      <c r="I19" s="7" t="s">
        <v>664</v>
      </c>
    </row>
    <row r="20" spans="1:9" ht="15.75" customHeight="1" x14ac:dyDescent="0.3">
      <c r="A20" s="6" t="s">
        <v>665</v>
      </c>
      <c r="B20" s="6" t="s">
        <v>58</v>
      </c>
      <c r="C20" s="6" t="s">
        <v>666</v>
      </c>
      <c r="D20" s="6">
        <v>-115</v>
      </c>
      <c r="E20" s="6" t="s">
        <v>667</v>
      </c>
      <c r="F20" s="6" t="s">
        <v>15</v>
      </c>
      <c r="G20" s="6" t="s">
        <v>384</v>
      </c>
      <c r="H20" s="6" t="s">
        <v>400</v>
      </c>
      <c r="I20" s="6" t="s">
        <v>668</v>
      </c>
    </row>
    <row r="21" spans="1:9" ht="15.75" customHeight="1" x14ac:dyDescent="0.3">
      <c r="A21" s="6" t="s">
        <v>669</v>
      </c>
      <c r="B21" s="6" t="s">
        <v>647</v>
      </c>
      <c r="C21" s="6" t="s">
        <v>617</v>
      </c>
      <c r="D21" s="6">
        <v>115</v>
      </c>
      <c r="E21" s="6" t="s">
        <v>66</v>
      </c>
      <c r="F21" s="6" t="s">
        <v>619</v>
      </c>
      <c r="G21" s="6" t="s">
        <v>384</v>
      </c>
      <c r="H21" s="6" t="s">
        <v>405</v>
      </c>
      <c r="I21" s="6" t="s">
        <v>670</v>
      </c>
    </row>
    <row r="22" spans="1:9" ht="15.75" customHeight="1" x14ac:dyDescent="0.3">
      <c r="A22" s="7" t="s">
        <v>650</v>
      </c>
      <c r="B22" s="7" t="s">
        <v>671</v>
      </c>
      <c r="C22" s="7" t="s">
        <v>99</v>
      </c>
      <c r="D22" s="7">
        <v>400</v>
      </c>
      <c r="E22" s="7" t="s">
        <v>624</v>
      </c>
      <c r="F22" s="7" t="s">
        <v>625</v>
      </c>
      <c r="G22" s="7" t="s">
        <v>384</v>
      </c>
      <c r="H22" s="7" t="s">
        <v>405</v>
      </c>
      <c r="I22" s="7" t="s">
        <v>672</v>
      </c>
    </row>
    <row r="23" spans="1:9" ht="15.75" customHeight="1" x14ac:dyDescent="0.3">
      <c r="A23" s="6" t="s">
        <v>627</v>
      </c>
      <c r="B23" s="6" t="s">
        <v>628</v>
      </c>
      <c r="C23" s="6" t="s">
        <v>89</v>
      </c>
      <c r="D23" s="6">
        <v>260</v>
      </c>
      <c r="E23" s="6" t="s">
        <v>90</v>
      </c>
      <c r="F23" s="6" t="s">
        <v>625</v>
      </c>
      <c r="G23" s="6" t="s">
        <v>384</v>
      </c>
      <c r="H23" s="6" t="s">
        <v>405</v>
      </c>
      <c r="I23" s="6" t="s">
        <v>673</v>
      </c>
    </row>
    <row r="24" spans="1:9" ht="15.75" customHeight="1" x14ac:dyDescent="0.3">
      <c r="A24" s="7" t="s">
        <v>113</v>
      </c>
      <c r="B24" s="7" t="s">
        <v>653</v>
      </c>
      <c r="C24" s="7" t="s">
        <v>113</v>
      </c>
      <c r="D24" s="7">
        <v>10</v>
      </c>
      <c r="E24" s="7" t="s">
        <v>24</v>
      </c>
      <c r="F24" s="7" t="s">
        <v>625</v>
      </c>
      <c r="G24" s="7" t="s">
        <v>384</v>
      </c>
      <c r="H24" s="7" t="s">
        <v>405</v>
      </c>
      <c r="I24" s="7"/>
    </row>
    <row r="25" spans="1:9" ht="15.75" customHeight="1" x14ac:dyDescent="0.3">
      <c r="A25" s="6" t="s">
        <v>634</v>
      </c>
      <c r="B25" s="6" t="s">
        <v>98</v>
      </c>
      <c r="C25" s="6" t="s">
        <v>634</v>
      </c>
      <c r="D25" s="6">
        <v>20</v>
      </c>
      <c r="E25" s="6" t="s">
        <v>634</v>
      </c>
      <c r="F25" s="6" t="s">
        <v>625</v>
      </c>
      <c r="G25" s="6" t="s">
        <v>384</v>
      </c>
      <c r="H25" s="6" t="s">
        <v>405</v>
      </c>
      <c r="I25" s="6"/>
    </row>
    <row r="26" spans="1:9" ht="15.75" customHeight="1" x14ac:dyDescent="0.3">
      <c r="A26" s="6" t="s">
        <v>674</v>
      </c>
      <c r="B26" s="6" t="s">
        <v>675</v>
      </c>
      <c r="C26" s="6" t="s">
        <v>617</v>
      </c>
      <c r="D26" s="6">
        <v>200</v>
      </c>
      <c r="E26" s="6" t="s">
        <v>676</v>
      </c>
      <c r="F26" s="6" t="s">
        <v>619</v>
      </c>
      <c r="G26" s="6" t="s">
        <v>384</v>
      </c>
      <c r="H26" s="6" t="s">
        <v>436</v>
      </c>
      <c r="I26" s="6" t="s">
        <v>677</v>
      </c>
    </row>
    <row r="27" spans="1:9" ht="15.75" customHeight="1" x14ac:dyDescent="0.3">
      <c r="A27" s="7" t="s">
        <v>650</v>
      </c>
      <c r="B27" s="7" t="s">
        <v>671</v>
      </c>
      <c r="C27" s="7" t="s">
        <v>99</v>
      </c>
      <c r="D27" s="7">
        <v>450</v>
      </c>
      <c r="E27" s="7" t="s">
        <v>624</v>
      </c>
      <c r="F27" s="7" t="s">
        <v>625</v>
      </c>
      <c r="G27" s="7" t="s">
        <v>384</v>
      </c>
      <c r="H27" s="7" t="s">
        <v>436</v>
      </c>
      <c r="I27" s="7" t="s">
        <v>678</v>
      </c>
    </row>
    <row r="28" spans="1:9" ht="15.75" customHeight="1" x14ac:dyDescent="0.3">
      <c r="A28" s="6" t="s">
        <v>627</v>
      </c>
      <c r="B28" s="6" t="s">
        <v>628</v>
      </c>
      <c r="C28" s="6" t="s">
        <v>89</v>
      </c>
      <c r="D28" s="6">
        <v>200</v>
      </c>
      <c r="E28" s="6" t="s">
        <v>90</v>
      </c>
      <c r="F28" s="6" t="s">
        <v>625</v>
      </c>
      <c r="G28" s="6" t="s">
        <v>384</v>
      </c>
      <c r="H28" s="6" t="s">
        <v>436</v>
      </c>
      <c r="I28" s="6" t="s">
        <v>679</v>
      </c>
    </row>
    <row r="29" spans="1:9" ht="15.75" customHeight="1" x14ac:dyDescent="0.3">
      <c r="A29" s="7" t="s">
        <v>113</v>
      </c>
      <c r="B29" s="7" t="s">
        <v>653</v>
      </c>
      <c r="C29" s="7" t="s">
        <v>113</v>
      </c>
      <c r="D29" s="7">
        <v>20</v>
      </c>
      <c r="E29" s="7" t="s">
        <v>24</v>
      </c>
      <c r="F29" s="7" t="s">
        <v>625</v>
      </c>
      <c r="G29" s="7" t="s">
        <v>384</v>
      </c>
      <c r="H29" s="7" t="s">
        <v>436</v>
      </c>
      <c r="I29" s="7"/>
    </row>
    <row r="30" spans="1:9" ht="15.75" customHeight="1" x14ac:dyDescent="0.3">
      <c r="A30" s="6" t="s">
        <v>634</v>
      </c>
      <c r="B30" s="6" t="s">
        <v>98</v>
      </c>
      <c r="C30" s="6" t="s">
        <v>634</v>
      </c>
      <c r="D30" s="6">
        <v>20</v>
      </c>
      <c r="E30" s="6" t="s">
        <v>634</v>
      </c>
      <c r="F30" s="6" t="s">
        <v>625</v>
      </c>
      <c r="G30" s="6" t="s">
        <v>384</v>
      </c>
      <c r="H30" s="6" t="s">
        <v>436</v>
      </c>
      <c r="I30" s="6"/>
    </row>
    <row r="31" spans="1:9" ht="15.75" customHeight="1" x14ac:dyDescent="0.3">
      <c r="A31" s="7" t="s">
        <v>680</v>
      </c>
      <c r="B31" s="7" t="s">
        <v>681</v>
      </c>
      <c r="C31" s="7" t="s">
        <v>639</v>
      </c>
      <c r="D31" s="7">
        <v>100</v>
      </c>
      <c r="E31" s="7" t="s">
        <v>682</v>
      </c>
      <c r="F31" s="7" t="s">
        <v>15</v>
      </c>
      <c r="G31" s="7" t="s">
        <v>683</v>
      </c>
      <c r="H31" s="7" t="s">
        <v>436</v>
      </c>
      <c r="I31" s="7" t="s">
        <v>684</v>
      </c>
    </row>
    <row r="32" spans="1:9" ht="15.75" customHeight="1" x14ac:dyDescent="0.3">
      <c r="A32" s="7" t="s">
        <v>650</v>
      </c>
      <c r="B32" s="7" t="s">
        <v>671</v>
      </c>
      <c r="C32" s="7" t="s">
        <v>99</v>
      </c>
      <c r="D32" s="7">
        <v>450</v>
      </c>
      <c r="E32" s="7" t="s">
        <v>624</v>
      </c>
      <c r="F32" s="7" t="s">
        <v>625</v>
      </c>
      <c r="G32" s="7" t="s">
        <v>384</v>
      </c>
      <c r="H32" s="7" t="s">
        <v>451</v>
      </c>
      <c r="I32" s="7" t="s">
        <v>685</v>
      </c>
    </row>
    <row r="33" spans="1:9" ht="15.75" customHeight="1" x14ac:dyDescent="0.3">
      <c r="A33" s="6" t="s">
        <v>627</v>
      </c>
      <c r="B33" s="6" t="s">
        <v>686</v>
      </c>
      <c r="C33" s="6" t="s">
        <v>89</v>
      </c>
      <c r="D33" s="6">
        <v>150</v>
      </c>
      <c r="E33" s="6" t="s">
        <v>90</v>
      </c>
      <c r="F33" s="6" t="s">
        <v>625</v>
      </c>
      <c r="G33" s="6" t="s">
        <v>384</v>
      </c>
      <c r="H33" s="6" t="s">
        <v>451</v>
      </c>
      <c r="I33" s="6"/>
    </row>
    <row r="34" spans="1:9" ht="15.75" customHeight="1" x14ac:dyDescent="0.3">
      <c r="A34" s="7" t="s">
        <v>113</v>
      </c>
      <c r="B34" s="7" t="s">
        <v>653</v>
      </c>
      <c r="C34" s="7" t="s">
        <v>113</v>
      </c>
      <c r="D34" s="7">
        <v>20</v>
      </c>
      <c r="E34" s="7" t="s">
        <v>24</v>
      </c>
      <c r="F34" s="7" t="s">
        <v>625</v>
      </c>
      <c r="G34" s="7" t="s">
        <v>384</v>
      </c>
      <c r="H34" s="7" t="s">
        <v>451</v>
      </c>
      <c r="I34" s="7"/>
    </row>
    <row r="35" spans="1:9" ht="15.75" customHeight="1" x14ac:dyDescent="0.3">
      <c r="A35" s="6" t="s">
        <v>634</v>
      </c>
      <c r="B35" s="6" t="s">
        <v>98</v>
      </c>
      <c r="C35" s="6" t="s">
        <v>634</v>
      </c>
      <c r="D35" s="6">
        <v>20</v>
      </c>
      <c r="E35" s="6" t="s">
        <v>634</v>
      </c>
      <c r="F35" s="6" t="s">
        <v>625</v>
      </c>
      <c r="G35" s="6" t="s">
        <v>384</v>
      </c>
      <c r="H35" s="6" t="s">
        <v>451</v>
      </c>
      <c r="I35" s="6"/>
    </row>
    <row r="36" spans="1:9" ht="15.75" customHeight="1" x14ac:dyDescent="0.3">
      <c r="A36" s="7" t="s">
        <v>687</v>
      </c>
      <c r="B36" s="7" t="s">
        <v>675</v>
      </c>
      <c r="C36" s="7" t="s">
        <v>639</v>
      </c>
      <c r="D36" s="7">
        <v>100</v>
      </c>
      <c r="E36" s="7" t="s">
        <v>682</v>
      </c>
      <c r="F36" s="7" t="s">
        <v>15</v>
      </c>
      <c r="G36" s="7" t="s">
        <v>683</v>
      </c>
      <c r="H36" s="7" t="s">
        <v>451</v>
      </c>
      <c r="I36" s="7" t="s">
        <v>688</v>
      </c>
    </row>
    <row r="37" spans="1:9" ht="15.75" customHeight="1" x14ac:dyDescent="0.3">
      <c r="A37" s="7" t="s">
        <v>689</v>
      </c>
      <c r="B37" s="7" t="s">
        <v>690</v>
      </c>
      <c r="C37" s="7" t="s">
        <v>617</v>
      </c>
      <c r="D37" s="7">
        <v>130</v>
      </c>
      <c r="E37" s="7" t="s">
        <v>60</v>
      </c>
      <c r="F37" s="7" t="s">
        <v>15</v>
      </c>
      <c r="G37" s="7" t="s">
        <v>384</v>
      </c>
      <c r="H37" s="7" t="s">
        <v>223</v>
      </c>
      <c r="I37" s="7" t="s">
        <v>691</v>
      </c>
    </row>
    <row r="38" spans="1:9" ht="15.75" customHeight="1" x14ac:dyDescent="0.3">
      <c r="A38" s="6" t="s">
        <v>650</v>
      </c>
      <c r="B38" s="6" t="s">
        <v>671</v>
      </c>
      <c r="C38" s="6" t="s">
        <v>99</v>
      </c>
      <c r="D38" s="6">
        <v>450</v>
      </c>
      <c r="E38" s="6" t="s">
        <v>624</v>
      </c>
      <c r="F38" s="6" t="s">
        <v>625</v>
      </c>
      <c r="G38" s="6" t="s">
        <v>384</v>
      </c>
      <c r="H38" s="6" t="s">
        <v>223</v>
      </c>
      <c r="I38" s="6" t="s">
        <v>692</v>
      </c>
    </row>
    <row r="39" spans="1:9" ht="15.75" customHeight="1" x14ac:dyDescent="0.3">
      <c r="A39" s="7" t="s">
        <v>627</v>
      </c>
      <c r="B39" s="7" t="s">
        <v>686</v>
      </c>
      <c r="C39" s="7" t="s">
        <v>89</v>
      </c>
      <c r="D39" s="7">
        <v>150</v>
      </c>
      <c r="E39" s="7" t="s">
        <v>90</v>
      </c>
      <c r="F39" s="7" t="s">
        <v>625</v>
      </c>
      <c r="G39" s="7" t="s">
        <v>384</v>
      </c>
      <c r="H39" s="7" t="s">
        <v>223</v>
      </c>
      <c r="I39" s="7"/>
    </row>
    <row r="40" spans="1:9" ht="15.75" customHeight="1" x14ac:dyDescent="0.3">
      <c r="A40" s="6" t="s">
        <v>113</v>
      </c>
      <c r="B40" s="6" t="s">
        <v>653</v>
      </c>
      <c r="C40" s="6" t="s">
        <v>113</v>
      </c>
      <c r="D40" s="6">
        <v>20</v>
      </c>
      <c r="E40" s="6" t="s">
        <v>24</v>
      </c>
      <c r="F40" s="6" t="s">
        <v>625</v>
      </c>
      <c r="G40" s="6" t="s">
        <v>384</v>
      </c>
      <c r="H40" s="6" t="s">
        <v>223</v>
      </c>
      <c r="I40" s="6"/>
    </row>
    <row r="41" spans="1:9" ht="15.75" customHeight="1" x14ac:dyDescent="0.3">
      <c r="A41" s="7" t="s">
        <v>634</v>
      </c>
      <c r="B41" s="7" t="s">
        <v>98</v>
      </c>
      <c r="C41" s="7" t="s">
        <v>634</v>
      </c>
      <c r="D41" s="7">
        <v>20</v>
      </c>
      <c r="E41" s="7" t="s">
        <v>634</v>
      </c>
      <c r="F41" s="7" t="s">
        <v>625</v>
      </c>
      <c r="G41" s="7" t="s">
        <v>384</v>
      </c>
      <c r="H41" s="7" t="s">
        <v>223</v>
      </c>
      <c r="I41" s="7"/>
    </row>
    <row r="42" spans="1:9" ht="15.75" customHeight="1" x14ac:dyDescent="0.3">
      <c r="A42" s="6" t="s">
        <v>693</v>
      </c>
      <c r="B42" s="6" t="s">
        <v>647</v>
      </c>
      <c r="C42" s="6" t="s">
        <v>639</v>
      </c>
      <c r="D42" s="6">
        <v>50</v>
      </c>
      <c r="E42" s="6" t="s">
        <v>694</v>
      </c>
      <c r="F42" s="6" t="s">
        <v>15</v>
      </c>
      <c r="G42" s="6" t="s">
        <v>683</v>
      </c>
      <c r="H42" s="6" t="s">
        <v>223</v>
      </c>
      <c r="I42" s="6" t="s">
        <v>688</v>
      </c>
    </row>
    <row r="43" spans="1:9" ht="15.75" customHeight="1" x14ac:dyDescent="0.3">
      <c r="A43" s="6" t="s">
        <v>695</v>
      </c>
      <c r="B43" s="6" t="s">
        <v>675</v>
      </c>
      <c r="C43" s="6" t="s">
        <v>617</v>
      </c>
      <c r="D43" s="6">
        <v>100</v>
      </c>
      <c r="E43" s="6" t="s">
        <v>60</v>
      </c>
      <c r="F43" s="6" t="s">
        <v>619</v>
      </c>
      <c r="G43" s="6" t="s">
        <v>384</v>
      </c>
      <c r="H43" s="6" t="s">
        <v>696</v>
      </c>
      <c r="I43" s="6"/>
    </row>
    <row r="44" spans="1:9" ht="15.75" customHeight="1" x14ac:dyDescent="0.3">
      <c r="A44" s="7" t="s">
        <v>650</v>
      </c>
      <c r="B44" s="7" t="s">
        <v>671</v>
      </c>
      <c r="C44" s="7" t="s">
        <v>99</v>
      </c>
      <c r="D44" s="7">
        <v>350</v>
      </c>
      <c r="E44" s="7" t="s">
        <v>624</v>
      </c>
      <c r="F44" s="7" t="s">
        <v>625</v>
      </c>
      <c r="G44" s="7" t="s">
        <v>384</v>
      </c>
      <c r="H44" s="7" t="s">
        <v>696</v>
      </c>
      <c r="I44" s="7" t="s">
        <v>697</v>
      </c>
    </row>
    <row r="45" spans="1:9" ht="15.75" customHeight="1" x14ac:dyDescent="0.3">
      <c r="A45" s="6" t="s">
        <v>627</v>
      </c>
      <c r="B45" s="6" t="s">
        <v>686</v>
      </c>
      <c r="C45" s="6" t="s">
        <v>89</v>
      </c>
      <c r="D45" s="6">
        <v>100</v>
      </c>
      <c r="E45" s="6" t="s">
        <v>90</v>
      </c>
      <c r="F45" s="6" t="s">
        <v>625</v>
      </c>
      <c r="G45" s="6" t="s">
        <v>384</v>
      </c>
      <c r="H45" s="6" t="s">
        <v>696</v>
      </c>
      <c r="I45" s="6" t="s">
        <v>698</v>
      </c>
    </row>
    <row r="46" spans="1:9" ht="15.75" customHeight="1" x14ac:dyDescent="0.3">
      <c r="A46" s="7" t="s">
        <v>113</v>
      </c>
      <c r="B46" s="7" t="s">
        <v>653</v>
      </c>
      <c r="C46" s="7" t="s">
        <v>113</v>
      </c>
      <c r="D46" s="7">
        <v>20</v>
      </c>
      <c r="E46" s="7" t="s">
        <v>24</v>
      </c>
      <c r="F46" s="7" t="s">
        <v>625</v>
      </c>
      <c r="G46" s="7" t="s">
        <v>384</v>
      </c>
      <c r="H46" s="7" t="s">
        <v>696</v>
      </c>
      <c r="I46" s="7"/>
    </row>
    <row r="47" spans="1:9" ht="15.75" customHeight="1" x14ac:dyDescent="0.3">
      <c r="A47" s="6" t="s">
        <v>634</v>
      </c>
      <c r="B47" s="6" t="s">
        <v>98</v>
      </c>
      <c r="C47" s="6" t="s">
        <v>634</v>
      </c>
      <c r="D47" s="6">
        <v>20</v>
      </c>
      <c r="E47" s="6" t="s">
        <v>634</v>
      </c>
      <c r="F47" s="6" t="s">
        <v>625</v>
      </c>
      <c r="G47" s="6" t="s">
        <v>384</v>
      </c>
      <c r="H47" s="6" t="s">
        <v>696</v>
      </c>
      <c r="I47" s="6"/>
    </row>
    <row r="48" spans="1:9" ht="15.75" customHeight="1" x14ac:dyDescent="0.3">
      <c r="A48" s="7" t="s">
        <v>699</v>
      </c>
      <c r="B48" s="7" t="s">
        <v>675</v>
      </c>
      <c r="C48" s="7" t="s">
        <v>639</v>
      </c>
      <c r="D48" s="7">
        <v>100</v>
      </c>
      <c r="E48" s="7" t="s">
        <v>682</v>
      </c>
      <c r="F48" s="7" t="s">
        <v>15</v>
      </c>
      <c r="G48" s="7" t="s">
        <v>683</v>
      </c>
      <c r="H48" s="7" t="s">
        <v>696</v>
      </c>
      <c r="I48" s="7" t="s">
        <v>688</v>
      </c>
    </row>
    <row r="49" spans="1:9" ht="15.75" customHeight="1" x14ac:dyDescent="0.3">
      <c r="A49" s="6" t="s">
        <v>700</v>
      </c>
      <c r="B49" s="6" t="s">
        <v>58</v>
      </c>
      <c r="C49" s="6" t="s">
        <v>666</v>
      </c>
      <c r="D49" s="6">
        <v>-68</v>
      </c>
      <c r="E49" s="6" t="s">
        <v>667</v>
      </c>
      <c r="F49" s="6" t="s">
        <v>15</v>
      </c>
      <c r="G49" s="6" t="s">
        <v>384</v>
      </c>
      <c r="H49" s="6" t="s">
        <v>696</v>
      </c>
      <c r="I49" s="6" t="s">
        <v>701</v>
      </c>
    </row>
    <row r="50" spans="1:9" ht="15.75" customHeight="1" x14ac:dyDescent="0.3">
      <c r="A50" s="7" t="s">
        <v>702</v>
      </c>
      <c r="B50" s="7" t="s">
        <v>58</v>
      </c>
      <c r="C50" s="7" t="s">
        <v>666</v>
      </c>
      <c r="D50" s="7">
        <v>-72</v>
      </c>
      <c r="E50" s="7" t="s">
        <v>667</v>
      </c>
      <c r="F50" s="7" t="s">
        <v>15</v>
      </c>
      <c r="G50" s="7" t="s">
        <v>384</v>
      </c>
      <c r="H50" s="7" t="s">
        <v>696</v>
      </c>
      <c r="I50" s="7" t="s">
        <v>701</v>
      </c>
    </row>
    <row r="51" spans="1:9" ht="15.75" customHeight="1" x14ac:dyDescent="0.3">
      <c r="A51" s="6" t="s">
        <v>703</v>
      </c>
      <c r="B51" s="6" t="s">
        <v>58</v>
      </c>
      <c r="C51" s="6" t="s">
        <v>666</v>
      </c>
      <c r="D51" s="6">
        <v>-62</v>
      </c>
      <c r="E51" s="6" t="s">
        <v>667</v>
      </c>
      <c r="F51" s="6" t="s">
        <v>15</v>
      </c>
      <c r="G51" s="6" t="s">
        <v>384</v>
      </c>
      <c r="H51" s="6" t="s">
        <v>696</v>
      </c>
      <c r="I51" s="6" t="s">
        <v>701</v>
      </c>
    </row>
    <row r="52" spans="1:9" ht="15.75" customHeight="1" x14ac:dyDescent="0.3">
      <c r="A52" s="6" t="s">
        <v>650</v>
      </c>
      <c r="B52" s="6" t="s">
        <v>671</v>
      </c>
      <c r="C52" s="6" t="s">
        <v>99</v>
      </c>
      <c r="D52" s="6">
        <v>350</v>
      </c>
      <c r="E52" s="6" t="s">
        <v>624</v>
      </c>
      <c r="F52" s="6" t="s">
        <v>625</v>
      </c>
      <c r="G52" s="6" t="s">
        <v>384</v>
      </c>
      <c r="H52" s="6" t="s">
        <v>472</v>
      </c>
      <c r="I52" s="6" t="s">
        <v>704</v>
      </c>
    </row>
    <row r="53" spans="1:9" ht="15.75" customHeight="1" x14ac:dyDescent="0.3">
      <c r="A53" s="7" t="s">
        <v>627</v>
      </c>
      <c r="B53" s="7" t="s">
        <v>686</v>
      </c>
      <c r="C53" s="7" t="s">
        <v>89</v>
      </c>
      <c r="D53" s="7">
        <v>100</v>
      </c>
      <c r="E53" s="7" t="s">
        <v>90</v>
      </c>
      <c r="F53" s="7" t="s">
        <v>625</v>
      </c>
      <c r="G53" s="7" t="s">
        <v>384</v>
      </c>
      <c r="H53" s="7" t="s">
        <v>472</v>
      </c>
      <c r="I53" s="7" t="s">
        <v>705</v>
      </c>
    </row>
    <row r="54" spans="1:9" ht="15.75" customHeight="1" x14ac:dyDescent="0.3">
      <c r="A54" s="6" t="s">
        <v>706</v>
      </c>
      <c r="B54" s="6" t="s">
        <v>675</v>
      </c>
      <c r="C54" s="6" t="s">
        <v>639</v>
      </c>
      <c r="D54" s="6">
        <v>200</v>
      </c>
      <c r="E54" s="6" t="s">
        <v>707</v>
      </c>
      <c r="F54" s="6" t="s">
        <v>15</v>
      </c>
      <c r="G54" s="6" t="s">
        <v>683</v>
      </c>
      <c r="H54" s="6" t="s">
        <v>472</v>
      </c>
      <c r="I54" s="6" t="s">
        <v>708</v>
      </c>
    </row>
    <row r="55" spans="1:9" ht="15.75" customHeight="1" x14ac:dyDescent="0.3">
      <c r="A55" s="7" t="s">
        <v>709</v>
      </c>
      <c r="B55" s="7" t="s">
        <v>58</v>
      </c>
      <c r="C55" s="7" t="s">
        <v>666</v>
      </c>
      <c r="D55" s="7">
        <v>-165</v>
      </c>
      <c r="E55" s="7" t="s">
        <v>667</v>
      </c>
      <c r="F55" s="7" t="s">
        <v>15</v>
      </c>
      <c r="G55" s="7" t="s">
        <v>384</v>
      </c>
      <c r="H55" s="7" t="s">
        <v>710</v>
      </c>
      <c r="I55" s="7" t="s">
        <v>711</v>
      </c>
    </row>
    <row r="56" spans="1:9" ht="15.75" customHeight="1" x14ac:dyDescent="0.3">
      <c r="A56" s="6" t="s">
        <v>712</v>
      </c>
      <c r="B56" s="6" t="s">
        <v>58</v>
      </c>
      <c r="C56" s="6" t="s">
        <v>666</v>
      </c>
      <c r="D56" s="6">
        <v>-163</v>
      </c>
      <c r="E56" s="6" t="s">
        <v>667</v>
      </c>
      <c r="F56" s="6" t="s">
        <v>15</v>
      </c>
      <c r="G56" s="6" t="s">
        <v>384</v>
      </c>
      <c r="H56" s="6" t="s">
        <v>710</v>
      </c>
      <c r="I56" s="6" t="s">
        <v>713</v>
      </c>
    </row>
    <row r="57" spans="1:9" ht="15.75" customHeight="1" x14ac:dyDescent="0.3">
      <c r="A57" s="7" t="s">
        <v>714</v>
      </c>
      <c r="B57" s="7" t="s">
        <v>83</v>
      </c>
      <c r="C57" s="7" t="s">
        <v>666</v>
      </c>
      <c r="D57" s="7">
        <v>-26.7</v>
      </c>
      <c r="E57" s="7" t="s">
        <v>667</v>
      </c>
      <c r="F57" s="7" t="s">
        <v>15</v>
      </c>
      <c r="G57" s="7" t="s">
        <v>384</v>
      </c>
      <c r="H57" s="7" t="s">
        <v>710</v>
      </c>
      <c r="I57" s="7"/>
    </row>
    <row r="58" spans="1:9" ht="15.75" customHeight="1" x14ac:dyDescent="0.3">
      <c r="A58" s="7" t="s">
        <v>715</v>
      </c>
      <c r="B58" s="7" t="s">
        <v>716</v>
      </c>
      <c r="C58" s="7" t="s">
        <v>717</v>
      </c>
      <c r="D58" s="7">
        <v>600</v>
      </c>
      <c r="E58" s="7" t="s">
        <v>718</v>
      </c>
      <c r="F58" s="7" t="s">
        <v>15</v>
      </c>
      <c r="G58" s="7" t="s">
        <v>719</v>
      </c>
      <c r="H58" s="7" t="s">
        <v>720</v>
      </c>
      <c r="I58" s="7" t="s">
        <v>721</v>
      </c>
    </row>
    <row r="59" spans="1:9" ht="15.75" customHeight="1" x14ac:dyDescent="0.3">
      <c r="A59" s="6" t="s">
        <v>650</v>
      </c>
      <c r="B59" s="6" t="s">
        <v>671</v>
      </c>
      <c r="C59" s="6" t="s">
        <v>99</v>
      </c>
      <c r="D59" s="6">
        <v>350</v>
      </c>
      <c r="E59" s="6" t="s">
        <v>624</v>
      </c>
      <c r="F59" s="6" t="s">
        <v>625</v>
      </c>
      <c r="G59" s="6" t="s">
        <v>384</v>
      </c>
      <c r="H59" s="6" t="s">
        <v>722</v>
      </c>
      <c r="I59" s="6"/>
    </row>
    <row r="60" spans="1:9" ht="15.75" customHeight="1" x14ac:dyDescent="0.3">
      <c r="A60" s="7" t="s">
        <v>627</v>
      </c>
      <c r="B60" s="7" t="s">
        <v>686</v>
      </c>
      <c r="C60" s="7" t="s">
        <v>89</v>
      </c>
      <c r="D60" s="7">
        <v>100</v>
      </c>
      <c r="E60" s="7" t="s">
        <v>90</v>
      </c>
      <c r="F60" s="7" t="s">
        <v>625</v>
      </c>
      <c r="G60" s="7" t="s">
        <v>384</v>
      </c>
      <c r="H60" s="7" t="s">
        <v>722</v>
      </c>
      <c r="I60" s="7"/>
    </row>
    <row r="61" spans="1:9" ht="15.75" customHeight="1" x14ac:dyDescent="0.3">
      <c r="A61" s="7" t="s">
        <v>723</v>
      </c>
      <c r="B61" s="7" t="s">
        <v>675</v>
      </c>
      <c r="C61" s="7" t="s">
        <v>724</v>
      </c>
      <c r="D61" s="7">
        <v>300</v>
      </c>
      <c r="E61" s="7" t="s">
        <v>725</v>
      </c>
      <c r="F61" s="7" t="s">
        <v>619</v>
      </c>
      <c r="G61" s="7" t="s">
        <v>384</v>
      </c>
      <c r="H61" s="7" t="s">
        <v>227</v>
      </c>
      <c r="I61" s="7" t="s">
        <v>726</v>
      </c>
    </row>
    <row r="62" spans="1:9" ht="15.75" customHeight="1" x14ac:dyDescent="0.3">
      <c r="A62" s="6" t="s">
        <v>650</v>
      </c>
      <c r="B62" s="6" t="s">
        <v>671</v>
      </c>
      <c r="C62" s="6" t="s">
        <v>99</v>
      </c>
      <c r="D62" s="6">
        <v>350</v>
      </c>
      <c r="E62" s="6" t="s">
        <v>624</v>
      </c>
      <c r="F62" s="6" t="s">
        <v>625</v>
      </c>
      <c r="G62" s="6" t="s">
        <v>384</v>
      </c>
      <c r="H62" s="6" t="s">
        <v>227</v>
      </c>
      <c r="I62" s="6"/>
    </row>
    <row r="63" spans="1:9" ht="15.75" customHeight="1" x14ac:dyDescent="0.3">
      <c r="A63" s="7" t="s">
        <v>627</v>
      </c>
      <c r="B63" s="7" t="s">
        <v>686</v>
      </c>
      <c r="C63" s="7" t="s">
        <v>89</v>
      </c>
      <c r="D63" s="7">
        <v>100</v>
      </c>
      <c r="E63" s="7" t="s">
        <v>90</v>
      </c>
      <c r="F63" s="7" t="s">
        <v>625</v>
      </c>
      <c r="G63" s="7" t="s">
        <v>384</v>
      </c>
      <c r="H63" s="7" t="s">
        <v>227</v>
      </c>
      <c r="I63" s="7"/>
    </row>
    <row r="64" spans="1:9" ht="15.75" customHeight="1" x14ac:dyDescent="0.3">
      <c r="A64" s="6" t="s">
        <v>727</v>
      </c>
      <c r="B64" s="6" t="s">
        <v>647</v>
      </c>
      <c r="C64" s="6" t="s">
        <v>728</v>
      </c>
      <c r="D64" s="6">
        <v>-300</v>
      </c>
      <c r="E64" s="6" t="s">
        <v>667</v>
      </c>
      <c r="F64" s="6" t="s">
        <v>619</v>
      </c>
      <c r="G64" s="6" t="s">
        <v>384</v>
      </c>
      <c r="H64" s="6" t="s">
        <v>227</v>
      </c>
      <c r="I64" s="6" t="s">
        <v>729</v>
      </c>
    </row>
    <row r="65" spans="1:9" ht="15.75" customHeight="1" x14ac:dyDescent="0.3">
      <c r="A65" s="6" t="s">
        <v>730</v>
      </c>
      <c r="B65" s="6" t="s">
        <v>675</v>
      </c>
      <c r="C65" s="6" t="s">
        <v>724</v>
      </c>
      <c r="D65" s="6">
        <v>200</v>
      </c>
      <c r="E65" s="6" t="s">
        <v>731</v>
      </c>
      <c r="F65" s="6" t="s">
        <v>619</v>
      </c>
      <c r="G65" s="6" t="s">
        <v>384</v>
      </c>
      <c r="H65" s="6" t="s">
        <v>732</v>
      </c>
      <c r="I65" s="6"/>
    </row>
    <row r="66" spans="1:9" ht="15.75" customHeight="1" x14ac:dyDescent="0.3">
      <c r="A66" s="7" t="s">
        <v>733</v>
      </c>
      <c r="B66" s="7" t="s">
        <v>675</v>
      </c>
      <c r="C66" s="7" t="s">
        <v>724</v>
      </c>
      <c r="D66" s="7">
        <v>200</v>
      </c>
      <c r="E66" s="7" t="s">
        <v>731</v>
      </c>
      <c r="F66" s="7" t="s">
        <v>619</v>
      </c>
      <c r="G66" s="7" t="s">
        <v>384</v>
      </c>
      <c r="H66" s="7" t="s">
        <v>734</v>
      </c>
      <c r="I66" s="7"/>
    </row>
    <row r="67" spans="1:9" ht="15.75" customHeight="1" x14ac:dyDescent="0.3">
      <c r="A67" s="6" t="s">
        <v>735</v>
      </c>
      <c r="B67" s="6" t="s">
        <v>671</v>
      </c>
      <c r="C67" s="6" t="s">
        <v>99</v>
      </c>
      <c r="D67" s="6">
        <v>350</v>
      </c>
      <c r="E67" s="6" t="s">
        <v>624</v>
      </c>
      <c r="F67" s="6" t="s">
        <v>625</v>
      </c>
      <c r="G67" s="6" t="s">
        <v>384</v>
      </c>
      <c r="H67" s="6" t="s">
        <v>736</v>
      </c>
      <c r="I67" s="6" t="s">
        <v>737</v>
      </c>
    </row>
    <row r="68" spans="1:9" ht="15.75" customHeight="1" x14ac:dyDescent="0.3">
      <c r="A68" s="7" t="s">
        <v>738</v>
      </c>
      <c r="B68" s="7" t="s">
        <v>675</v>
      </c>
      <c r="C68" s="7" t="s">
        <v>724</v>
      </c>
      <c r="D68" s="7">
        <v>200</v>
      </c>
      <c r="E68" s="7" t="s">
        <v>739</v>
      </c>
      <c r="F68" s="7" t="s">
        <v>619</v>
      </c>
      <c r="G68" s="7" t="s">
        <v>384</v>
      </c>
      <c r="H68" s="7" t="s">
        <v>740</v>
      </c>
      <c r="I68" s="7" t="s">
        <v>741</v>
      </c>
    </row>
    <row r="69" spans="1:9" ht="15.75" customHeight="1" x14ac:dyDescent="0.3">
      <c r="A69" s="6" t="s">
        <v>742</v>
      </c>
      <c r="B69" s="6" t="s">
        <v>671</v>
      </c>
      <c r="C69" s="6" t="s">
        <v>99</v>
      </c>
      <c r="D69" s="6">
        <v>400</v>
      </c>
      <c r="E69" s="6" t="s">
        <v>624</v>
      </c>
      <c r="F69" s="6" t="s">
        <v>625</v>
      </c>
      <c r="G69" s="6" t="s">
        <v>384</v>
      </c>
      <c r="H69" s="6" t="s">
        <v>740</v>
      </c>
      <c r="I69" s="6"/>
    </row>
    <row r="70" spans="1:9" ht="15.75" customHeight="1" x14ac:dyDescent="0.3">
      <c r="A70" s="7" t="s">
        <v>743</v>
      </c>
      <c r="B70" s="7" t="s">
        <v>744</v>
      </c>
      <c r="C70" s="7" t="s">
        <v>89</v>
      </c>
      <c r="D70" s="7">
        <v>100</v>
      </c>
      <c r="E70" s="7" t="s">
        <v>90</v>
      </c>
      <c r="F70" s="7" t="s">
        <v>625</v>
      </c>
      <c r="G70" s="7" t="s">
        <v>384</v>
      </c>
      <c r="H70" s="7" t="s">
        <v>740</v>
      </c>
      <c r="I70" s="7"/>
    </row>
    <row r="71" spans="1:9" ht="15.75" customHeight="1" x14ac:dyDescent="0.3">
      <c r="A71" s="7" t="s">
        <v>745</v>
      </c>
      <c r="B71" s="7" t="s">
        <v>88</v>
      </c>
      <c r="C71" s="7" t="s">
        <v>746</v>
      </c>
      <c r="D71" s="7">
        <v>500</v>
      </c>
      <c r="E71" s="7" t="s">
        <v>747</v>
      </c>
      <c r="F71" s="7" t="s">
        <v>748</v>
      </c>
      <c r="G71" s="7" t="s">
        <v>749</v>
      </c>
      <c r="H71" s="7" t="s">
        <v>267</v>
      </c>
      <c r="I71" s="7" t="s">
        <v>750</v>
      </c>
    </row>
    <row r="72" spans="1:9" ht="15.75" customHeight="1" x14ac:dyDescent="0.3">
      <c r="A72" s="6" t="s">
        <v>751</v>
      </c>
      <c r="B72" s="6" t="s">
        <v>675</v>
      </c>
      <c r="C72" s="6" t="s">
        <v>724</v>
      </c>
      <c r="D72" s="6">
        <v>200</v>
      </c>
      <c r="E72" s="6" t="s">
        <v>731</v>
      </c>
      <c r="F72" s="6" t="s">
        <v>619</v>
      </c>
      <c r="G72" s="6" t="s">
        <v>384</v>
      </c>
      <c r="H72" s="6" t="s">
        <v>267</v>
      </c>
      <c r="I72" s="6"/>
    </row>
    <row r="73" spans="1:9" ht="15.75" customHeight="1" x14ac:dyDescent="0.3">
      <c r="A73" s="7" t="s">
        <v>752</v>
      </c>
      <c r="B73" s="7" t="s">
        <v>671</v>
      </c>
      <c r="C73" s="7" t="s">
        <v>99</v>
      </c>
      <c r="D73" s="7">
        <v>400</v>
      </c>
      <c r="E73" s="7" t="s">
        <v>624</v>
      </c>
      <c r="F73" s="7" t="s">
        <v>625</v>
      </c>
      <c r="G73" s="7" t="s">
        <v>384</v>
      </c>
      <c r="H73" s="7" t="s">
        <v>753</v>
      </c>
      <c r="I73" s="7" t="s">
        <v>754</v>
      </c>
    </row>
    <row r="74" spans="1:9" ht="15.75" customHeight="1" x14ac:dyDescent="0.3">
      <c r="A74" s="6" t="s">
        <v>755</v>
      </c>
      <c r="B74" s="6" t="s">
        <v>744</v>
      </c>
      <c r="C74" s="6" t="s">
        <v>89</v>
      </c>
      <c r="D74" s="6">
        <v>100</v>
      </c>
      <c r="E74" s="6" t="s">
        <v>756</v>
      </c>
      <c r="F74" s="6" t="s">
        <v>625</v>
      </c>
      <c r="G74" s="6" t="s">
        <v>384</v>
      </c>
      <c r="H74" s="6" t="s">
        <v>757</v>
      </c>
      <c r="I74" s="6"/>
    </row>
    <row r="75" spans="1:9" ht="15.75" customHeight="1" x14ac:dyDescent="0.3">
      <c r="A75" s="7" t="s">
        <v>758</v>
      </c>
      <c r="B75" s="7" t="s">
        <v>675</v>
      </c>
      <c r="C75" s="7" t="s">
        <v>724</v>
      </c>
      <c r="D75" s="7">
        <v>200</v>
      </c>
      <c r="E75" s="7" t="s">
        <v>759</v>
      </c>
      <c r="F75" s="7" t="s">
        <v>619</v>
      </c>
      <c r="G75" s="7" t="s">
        <v>384</v>
      </c>
      <c r="H75" s="7" t="s">
        <v>760</v>
      </c>
      <c r="I75" s="7" t="s">
        <v>761</v>
      </c>
    </row>
    <row r="76" spans="1:9" ht="15.75" customHeight="1" x14ac:dyDescent="0.3">
      <c r="A76" s="6" t="s">
        <v>762</v>
      </c>
      <c r="B76" s="6" t="s">
        <v>763</v>
      </c>
      <c r="C76" s="6" t="s">
        <v>764</v>
      </c>
      <c r="D76" s="6">
        <v>500</v>
      </c>
      <c r="E76" s="6" t="s">
        <v>765</v>
      </c>
      <c r="F76" s="6" t="s">
        <v>766</v>
      </c>
      <c r="G76" s="6" t="s">
        <v>384</v>
      </c>
      <c r="H76" s="6" t="s">
        <v>767</v>
      </c>
      <c r="I76" s="6" t="s">
        <v>768</v>
      </c>
    </row>
    <row r="77" spans="1:9" ht="15.75" customHeight="1" x14ac:dyDescent="0.3">
      <c r="A77" s="7" t="s">
        <v>769</v>
      </c>
      <c r="B77" s="7" t="s">
        <v>770</v>
      </c>
      <c r="C77" s="7" t="s">
        <v>771</v>
      </c>
      <c r="D77" s="7">
        <v>600</v>
      </c>
      <c r="E77" s="7" t="s">
        <v>772</v>
      </c>
      <c r="F77" s="7" t="s">
        <v>773</v>
      </c>
      <c r="G77" s="7" t="s">
        <v>774</v>
      </c>
      <c r="H77" s="7" t="s">
        <v>233</v>
      </c>
      <c r="I77" s="7" t="s">
        <v>775</v>
      </c>
    </row>
    <row r="78" spans="1:9" ht="15.75" customHeight="1" x14ac:dyDescent="0.3">
      <c r="A78" s="6" t="s">
        <v>776</v>
      </c>
      <c r="B78" s="6" t="s">
        <v>675</v>
      </c>
      <c r="C78" s="6" t="s">
        <v>724</v>
      </c>
      <c r="D78" s="6">
        <v>200</v>
      </c>
      <c r="E78" s="6" t="s">
        <v>731</v>
      </c>
      <c r="F78" s="6" t="s">
        <v>619</v>
      </c>
      <c r="G78" s="6" t="s">
        <v>384</v>
      </c>
      <c r="H78" s="6" t="s">
        <v>233</v>
      </c>
      <c r="I78" s="6"/>
    </row>
    <row r="79" spans="1:9" ht="15.75" customHeight="1" x14ac:dyDescent="0.3">
      <c r="A79" s="7" t="s">
        <v>777</v>
      </c>
      <c r="B79" s="7" t="s">
        <v>671</v>
      </c>
      <c r="C79" s="7" t="s">
        <v>99</v>
      </c>
      <c r="D79" s="7">
        <v>450</v>
      </c>
      <c r="E79" s="7" t="s">
        <v>624</v>
      </c>
      <c r="F79" s="7" t="s">
        <v>625</v>
      </c>
      <c r="G79" s="7" t="s">
        <v>384</v>
      </c>
      <c r="H79" s="7" t="s">
        <v>233</v>
      </c>
      <c r="I79" s="7"/>
    </row>
    <row r="80" spans="1:9" ht="15.75" customHeight="1" x14ac:dyDescent="0.3">
      <c r="A80" s="6" t="s">
        <v>778</v>
      </c>
      <c r="B80" s="6" t="s">
        <v>675</v>
      </c>
      <c r="C80" s="6" t="s">
        <v>639</v>
      </c>
      <c r="D80" s="6">
        <v>50</v>
      </c>
      <c r="E80" s="6" t="s">
        <v>779</v>
      </c>
      <c r="F80" s="6" t="s">
        <v>15</v>
      </c>
      <c r="G80" s="6" t="s">
        <v>384</v>
      </c>
      <c r="H80" s="6" t="s">
        <v>233</v>
      </c>
      <c r="I80" s="6"/>
    </row>
    <row r="81" spans="1:9" ht="15.75" customHeight="1" x14ac:dyDescent="0.3">
      <c r="A81" s="7" t="s">
        <v>780</v>
      </c>
      <c r="B81" s="7" t="s">
        <v>49</v>
      </c>
      <c r="C81" s="7" t="s">
        <v>781</v>
      </c>
      <c r="D81" s="7">
        <v>-600</v>
      </c>
      <c r="E81" s="7" t="s">
        <v>667</v>
      </c>
      <c r="F81" s="7" t="s">
        <v>15</v>
      </c>
      <c r="G81" s="7" t="s">
        <v>384</v>
      </c>
      <c r="H81" s="7" t="s">
        <v>233</v>
      </c>
      <c r="I81" s="7" t="s">
        <v>782</v>
      </c>
    </row>
    <row r="82" spans="1:9" ht="15.75" customHeight="1" x14ac:dyDescent="0.3">
      <c r="A82" s="6" t="s">
        <v>783</v>
      </c>
      <c r="B82" s="6" t="s">
        <v>784</v>
      </c>
      <c r="C82" s="6" t="s">
        <v>99</v>
      </c>
      <c r="D82" s="6">
        <v>100</v>
      </c>
      <c r="E82" s="6" t="s">
        <v>624</v>
      </c>
      <c r="F82" s="6" t="s">
        <v>94</v>
      </c>
      <c r="G82" s="6" t="s">
        <v>785</v>
      </c>
      <c r="H82" s="6" t="s">
        <v>400</v>
      </c>
      <c r="I82" s="6" t="s">
        <v>786</v>
      </c>
    </row>
    <row r="83" spans="1:9" ht="15.75" customHeight="1" x14ac:dyDescent="0.3">
      <c r="A83" s="7" t="s">
        <v>787</v>
      </c>
      <c r="B83" s="7" t="s">
        <v>681</v>
      </c>
      <c r="C83" s="7" t="s">
        <v>788</v>
      </c>
      <c r="D83" s="7">
        <v>100</v>
      </c>
      <c r="E83" s="7" t="s">
        <v>789</v>
      </c>
      <c r="F83" s="7" t="s">
        <v>94</v>
      </c>
      <c r="G83" s="7" t="s">
        <v>384</v>
      </c>
      <c r="H83" s="7" t="s">
        <v>451</v>
      </c>
      <c r="I83" s="7" t="s">
        <v>790</v>
      </c>
    </row>
    <row r="84" spans="1:9" ht="15.75" customHeight="1" x14ac:dyDescent="0.3">
      <c r="A84" s="6" t="s">
        <v>791</v>
      </c>
      <c r="B84" s="6" t="s">
        <v>792</v>
      </c>
      <c r="C84" s="6" t="s">
        <v>99</v>
      </c>
      <c r="D84" s="6">
        <v>100</v>
      </c>
      <c r="E84" s="6" t="s">
        <v>624</v>
      </c>
      <c r="F84" s="6" t="s">
        <v>94</v>
      </c>
      <c r="G84" s="6" t="s">
        <v>384</v>
      </c>
      <c r="H84" s="6" t="s">
        <v>793</v>
      </c>
      <c r="I84" s="6" t="s">
        <v>794</v>
      </c>
    </row>
    <row r="85" spans="1:9" ht="15.75" customHeight="1" x14ac:dyDescent="0.3">
      <c r="A85" s="7" t="s">
        <v>795</v>
      </c>
      <c r="B85" s="7" t="s">
        <v>796</v>
      </c>
      <c r="C85" s="7" t="s">
        <v>99</v>
      </c>
      <c r="D85" s="7">
        <v>50</v>
      </c>
      <c r="E85" s="7" t="s">
        <v>624</v>
      </c>
      <c r="F85" s="7" t="s">
        <v>94</v>
      </c>
      <c r="G85" s="7" t="s">
        <v>384</v>
      </c>
      <c r="H85" s="7" t="s">
        <v>436</v>
      </c>
      <c r="I85" s="7" t="s">
        <v>797</v>
      </c>
    </row>
    <row r="86" spans="1:9" ht="15.75" customHeight="1" x14ac:dyDescent="0.3">
      <c r="A86" s="6" t="s">
        <v>798</v>
      </c>
      <c r="B86" s="6" t="s">
        <v>796</v>
      </c>
      <c r="C86" s="6" t="s">
        <v>99</v>
      </c>
      <c r="D86" s="6">
        <v>70</v>
      </c>
      <c r="E86" s="6" t="s">
        <v>624</v>
      </c>
      <c r="F86" s="6" t="s">
        <v>94</v>
      </c>
      <c r="G86" s="6" t="s">
        <v>384</v>
      </c>
      <c r="H86" s="6" t="s">
        <v>799</v>
      </c>
      <c r="I86" s="6" t="s">
        <v>800</v>
      </c>
    </row>
    <row r="87" spans="1:9" ht="15.75" customHeight="1" x14ac:dyDescent="0.3">
      <c r="A87" s="7" t="s">
        <v>801</v>
      </c>
      <c r="B87" s="7" t="s">
        <v>796</v>
      </c>
      <c r="C87" s="7" t="s">
        <v>99</v>
      </c>
      <c r="D87" s="7">
        <v>100</v>
      </c>
      <c r="E87" s="7" t="s">
        <v>624</v>
      </c>
      <c r="F87" s="7" t="s">
        <v>94</v>
      </c>
      <c r="G87" s="7" t="s">
        <v>384</v>
      </c>
      <c r="H87" s="7" t="s">
        <v>799</v>
      </c>
      <c r="I87" s="7" t="s">
        <v>802</v>
      </c>
    </row>
    <row r="88" spans="1:9" ht="15.75" customHeight="1" x14ac:dyDescent="0.3">
      <c r="A88" s="6" t="s">
        <v>803</v>
      </c>
      <c r="B88" s="6" t="s">
        <v>796</v>
      </c>
      <c r="C88" s="6" t="s">
        <v>99</v>
      </c>
      <c r="D88" s="6">
        <v>100</v>
      </c>
      <c r="E88" s="6" t="s">
        <v>624</v>
      </c>
      <c r="F88" s="6" t="s">
        <v>94</v>
      </c>
      <c r="G88" s="6" t="s">
        <v>384</v>
      </c>
      <c r="H88" s="6" t="s">
        <v>799</v>
      </c>
      <c r="I88" s="6" t="s">
        <v>800</v>
      </c>
    </row>
    <row r="89" spans="1:9" ht="15.75" customHeight="1" x14ac:dyDescent="0.3">
      <c r="A89" s="7" t="s">
        <v>804</v>
      </c>
      <c r="B89" s="7" t="s">
        <v>805</v>
      </c>
      <c r="C89" s="7" t="s">
        <v>99</v>
      </c>
      <c r="D89" s="7">
        <v>50</v>
      </c>
      <c r="E89" s="7" t="s">
        <v>624</v>
      </c>
      <c r="F89" s="7" t="s">
        <v>94</v>
      </c>
      <c r="G89" s="7" t="s">
        <v>384</v>
      </c>
      <c r="H89" s="7" t="s">
        <v>451</v>
      </c>
      <c r="I89" s="7" t="s">
        <v>806</v>
      </c>
    </row>
    <row r="90" spans="1:9" ht="15.75" customHeight="1" x14ac:dyDescent="0.3">
      <c r="A90" s="6" t="s">
        <v>807</v>
      </c>
      <c r="B90" s="6" t="s">
        <v>805</v>
      </c>
      <c r="C90" s="6" t="s">
        <v>99</v>
      </c>
      <c r="D90" s="6">
        <v>100</v>
      </c>
      <c r="E90" s="6" t="s">
        <v>624</v>
      </c>
      <c r="F90" s="6" t="s">
        <v>94</v>
      </c>
      <c r="G90" s="6" t="s">
        <v>384</v>
      </c>
      <c r="H90" s="6" t="s">
        <v>696</v>
      </c>
      <c r="I90" s="6" t="s">
        <v>800</v>
      </c>
    </row>
    <row r="91" spans="1:9" ht="15.75" customHeight="1" x14ac:dyDescent="0.3">
      <c r="A91" s="7" t="s">
        <v>808</v>
      </c>
      <c r="B91" s="7" t="s">
        <v>88</v>
      </c>
      <c r="C91" s="7" t="s">
        <v>89</v>
      </c>
      <c r="D91" s="7">
        <v>50</v>
      </c>
      <c r="E91" s="7" t="s">
        <v>90</v>
      </c>
      <c r="F91" s="7" t="s">
        <v>94</v>
      </c>
      <c r="G91" s="7" t="s">
        <v>809</v>
      </c>
      <c r="H91" s="7" t="s">
        <v>400</v>
      </c>
      <c r="I91" s="7" t="s">
        <v>810</v>
      </c>
    </row>
    <row r="92" spans="1:9" ht="15.75" customHeight="1" x14ac:dyDescent="0.3">
      <c r="A92" s="6" t="s">
        <v>811</v>
      </c>
      <c r="B92" s="6" t="s">
        <v>88</v>
      </c>
      <c r="C92" s="6" t="s">
        <v>89</v>
      </c>
      <c r="D92" s="6">
        <v>250</v>
      </c>
      <c r="E92" s="6" t="s">
        <v>90</v>
      </c>
      <c r="F92" s="6" t="s">
        <v>94</v>
      </c>
      <c r="G92" s="6" t="s">
        <v>384</v>
      </c>
      <c r="H92" s="6" t="s">
        <v>405</v>
      </c>
      <c r="I92" s="6" t="s">
        <v>812</v>
      </c>
    </row>
    <row r="93" spans="1:9" ht="15.75" customHeight="1" x14ac:dyDescent="0.3">
      <c r="A93" s="7" t="s">
        <v>813</v>
      </c>
      <c r="B93" s="7" t="s">
        <v>814</v>
      </c>
      <c r="C93" s="7" t="s">
        <v>89</v>
      </c>
      <c r="D93" s="7">
        <v>100</v>
      </c>
      <c r="E93" s="7" t="s">
        <v>90</v>
      </c>
      <c r="F93" s="7" t="s">
        <v>94</v>
      </c>
      <c r="G93" s="7" t="s">
        <v>384</v>
      </c>
      <c r="H93" s="7" t="s">
        <v>793</v>
      </c>
      <c r="I93" s="7" t="s">
        <v>815</v>
      </c>
    </row>
    <row r="94" spans="1:9" ht="15.75" customHeight="1" x14ac:dyDescent="0.3">
      <c r="A94" s="6" t="s">
        <v>816</v>
      </c>
      <c r="B94" s="6" t="s">
        <v>817</v>
      </c>
      <c r="C94" s="6" t="s">
        <v>89</v>
      </c>
      <c r="D94" s="6">
        <v>120</v>
      </c>
      <c r="E94" s="6" t="s">
        <v>90</v>
      </c>
      <c r="F94" s="6" t="s">
        <v>94</v>
      </c>
      <c r="G94" s="6" t="s">
        <v>818</v>
      </c>
      <c r="H94" s="6" t="s">
        <v>793</v>
      </c>
      <c r="I94" s="6" t="s">
        <v>819</v>
      </c>
    </row>
    <row r="95" spans="1:9" ht="15.75" customHeight="1" x14ac:dyDescent="0.3">
      <c r="A95" s="7" t="s">
        <v>820</v>
      </c>
      <c r="B95" s="7" t="s">
        <v>821</v>
      </c>
      <c r="C95" s="7" t="s">
        <v>89</v>
      </c>
      <c r="D95" s="7">
        <v>234</v>
      </c>
      <c r="E95" s="7" t="s">
        <v>90</v>
      </c>
      <c r="F95" s="7" t="s">
        <v>94</v>
      </c>
      <c r="G95" s="7" t="s">
        <v>384</v>
      </c>
      <c r="H95" s="7" t="s">
        <v>223</v>
      </c>
      <c r="I95" s="7" t="s">
        <v>822</v>
      </c>
    </row>
    <row r="96" spans="1:9" ht="15.75" customHeight="1" x14ac:dyDescent="0.3">
      <c r="A96" s="6" t="s">
        <v>823</v>
      </c>
      <c r="B96" s="6" t="s">
        <v>821</v>
      </c>
      <c r="C96" s="6" t="s">
        <v>89</v>
      </c>
      <c r="D96" s="6">
        <v>200</v>
      </c>
      <c r="E96" s="6" t="s">
        <v>90</v>
      </c>
      <c r="F96" s="6" t="s">
        <v>94</v>
      </c>
      <c r="G96" s="6" t="s">
        <v>384</v>
      </c>
      <c r="H96" s="6" t="s">
        <v>696</v>
      </c>
      <c r="I96" s="6" t="s">
        <v>824</v>
      </c>
    </row>
    <row r="97" spans="1:9" ht="15.75" customHeight="1" x14ac:dyDescent="0.3">
      <c r="A97" s="7" t="s">
        <v>825</v>
      </c>
      <c r="B97" s="7" t="s">
        <v>821</v>
      </c>
      <c r="C97" s="7" t="s">
        <v>89</v>
      </c>
      <c r="D97" s="7">
        <v>120</v>
      </c>
      <c r="E97" s="7" t="s">
        <v>90</v>
      </c>
      <c r="F97" s="7" t="s">
        <v>94</v>
      </c>
      <c r="G97" s="7" t="s">
        <v>384</v>
      </c>
      <c r="H97" s="7" t="s">
        <v>472</v>
      </c>
      <c r="I97" s="7" t="s">
        <v>826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8"/>
  <sheetViews>
    <sheetView tabSelected="1" zoomScaleNormal="100" workbookViewId="0">
      <pane ySplit="3" topLeftCell="A56" activePane="bottomLeft" state="frozen"/>
      <selection pane="bottomLeft" activeCell="A43" sqref="A43:A65"/>
    </sheetView>
  </sheetViews>
  <sheetFormatPr baseColWidth="10" defaultColWidth="8.6640625" defaultRowHeight="14.4" x14ac:dyDescent="0.3"/>
  <cols>
    <col min="1" max="1" width="64.88671875" bestFit="1" customWidth="1"/>
    <col min="2" max="2" width="30" customWidth="1"/>
    <col min="3" max="3" width="60" customWidth="1"/>
    <col min="4" max="5" width="14" customWidth="1"/>
    <col min="6" max="6" width="40" customWidth="1"/>
  </cols>
  <sheetData>
    <row r="1" spans="1:6" ht="21.75" customHeight="1" x14ac:dyDescent="0.3">
      <c r="A1" s="4" t="s">
        <v>827</v>
      </c>
      <c r="B1" s="4"/>
      <c r="C1" s="4"/>
      <c r="D1" s="4"/>
      <c r="E1" s="4"/>
      <c r="F1" s="4"/>
    </row>
    <row r="2" spans="1:6" ht="30" customHeight="1" x14ac:dyDescent="0.3">
      <c r="A2" s="3" t="s">
        <v>828</v>
      </c>
      <c r="B2" s="3"/>
      <c r="C2" s="3"/>
      <c r="D2" s="3"/>
      <c r="E2" s="3"/>
      <c r="F2" s="3"/>
    </row>
    <row r="3" spans="1:6" ht="30" customHeight="1" x14ac:dyDescent="0.3">
      <c r="A3" s="5" t="s">
        <v>124</v>
      </c>
      <c r="B3" s="5" t="s">
        <v>829</v>
      </c>
      <c r="C3" s="5" t="s">
        <v>830</v>
      </c>
      <c r="D3" s="5" t="s">
        <v>831</v>
      </c>
      <c r="E3" s="5" t="s">
        <v>832</v>
      </c>
      <c r="F3" s="5" t="s">
        <v>256</v>
      </c>
    </row>
    <row r="4" spans="1:6" ht="15.75" customHeight="1" x14ac:dyDescent="0.3">
      <c r="A4" s="14" t="s">
        <v>833</v>
      </c>
      <c r="B4" s="14"/>
      <c r="C4" s="14"/>
      <c r="D4" s="14"/>
      <c r="E4" s="14"/>
      <c r="F4" s="14"/>
    </row>
    <row r="5" spans="1:6" ht="15.75" customHeight="1" x14ac:dyDescent="0.3">
      <c r="A5" s="7" t="s">
        <v>834</v>
      </c>
      <c r="B5" s="7" t="s">
        <v>835</v>
      </c>
      <c r="C5" s="7" t="s">
        <v>215</v>
      </c>
      <c r="D5" s="7" t="s">
        <v>836</v>
      </c>
      <c r="E5" s="7" t="s">
        <v>837</v>
      </c>
      <c r="F5" s="7" t="s">
        <v>838</v>
      </c>
    </row>
    <row r="6" spans="1:6" ht="15.75" customHeight="1" x14ac:dyDescent="0.3">
      <c r="A6" s="6" t="s">
        <v>834</v>
      </c>
      <c r="B6" s="6" t="s">
        <v>839</v>
      </c>
      <c r="C6" s="6" t="s">
        <v>840</v>
      </c>
      <c r="D6" s="6" t="s">
        <v>836</v>
      </c>
      <c r="E6" s="6" t="s">
        <v>837</v>
      </c>
      <c r="F6" s="6" t="s">
        <v>841</v>
      </c>
    </row>
    <row r="7" spans="1:6" ht="15.75" customHeight="1" x14ac:dyDescent="0.3">
      <c r="A7" s="7" t="s">
        <v>834</v>
      </c>
      <c r="B7" s="7" t="s">
        <v>842</v>
      </c>
      <c r="C7" s="7" t="s">
        <v>843</v>
      </c>
      <c r="D7" s="7" t="s">
        <v>836</v>
      </c>
      <c r="E7" s="7" t="s">
        <v>837</v>
      </c>
      <c r="F7" s="7" t="s">
        <v>841</v>
      </c>
    </row>
    <row r="8" spans="1:6" ht="15.75" customHeight="1" x14ac:dyDescent="0.3">
      <c r="A8" s="6" t="s">
        <v>834</v>
      </c>
      <c r="B8" s="6" t="s">
        <v>844</v>
      </c>
      <c r="C8" s="6" t="s">
        <v>845</v>
      </c>
      <c r="D8" s="6" t="s">
        <v>836</v>
      </c>
      <c r="E8" s="6" t="s">
        <v>837</v>
      </c>
      <c r="F8" s="6" t="s">
        <v>846</v>
      </c>
    </row>
    <row r="9" spans="1:6" ht="15.75" customHeight="1" x14ac:dyDescent="0.3">
      <c r="A9" s="7" t="s">
        <v>834</v>
      </c>
      <c r="B9" s="7" t="s">
        <v>847</v>
      </c>
      <c r="C9" s="7" t="s">
        <v>848</v>
      </c>
      <c r="D9" s="7" t="s">
        <v>836</v>
      </c>
      <c r="E9" s="7" t="s">
        <v>837</v>
      </c>
      <c r="F9" s="7" t="s">
        <v>214</v>
      </c>
    </row>
    <row r="10" spans="1:6" ht="15.75" customHeight="1" x14ac:dyDescent="0.3">
      <c r="A10" s="6" t="s">
        <v>834</v>
      </c>
      <c r="B10" s="6" t="s">
        <v>138</v>
      </c>
      <c r="C10" s="6" t="s">
        <v>849</v>
      </c>
      <c r="D10" s="6" t="s">
        <v>836</v>
      </c>
      <c r="E10" s="6" t="s">
        <v>837</v>
      </c>
      <c r="F10" s="6" t="s">
        <v>850</v>
      </c>
    </row>
    <row r="11" spans="1:6" ht="15.75" customHeight="1" x14ac:dyDescent="0.3">
      <c r="A11" s="7" t="s">
        <v>834</v>
      </c>
      <c r="B11" s="7" t="s">
        <v>851</v>
      </c>
      <c r="C11" s="7" t="s">
        <v>852</v>
      </c>
      <c r="D11" s="7" t="s">
        <v>836</v>
      </c>
      <c r="E11" s="7" t="s">
        <v>837</v>
      </c>
      <c r="F11" s="7" t="s">
        <v>214</v>
      </c>
    </row>
    <row r="12" spans="1:6" ht="15.75" customHeight="1" x14ac:dyDescent="0.3">
      <c r="A12" s="6" t="s">
        <v>834</v>
      </c>
      <c r="B12" s="6" t="s">
        <v>853</v>
      </c>
      <c r="C12" s="6" t="s">
        <v>854</v>
      </c>
      <c r="D12" s="6" t="s">
        <v>836</v>
      </c>
      <c r="E12" s="6" t="s">
        <v>837</v>
      </c>
      <c r="F12" s="6" t="s">
        <v>846</v>
      </c>
    </row>
    <row r="13" spans="1:6" ht="15.75" customHeight="1" x14ac:dyDescent="0.3">
      <c r="A13" s="7" t="s">
        <v>834</v>
      </c>
      <c r="B13" s="7" t="s">
        <v>97</v>
      </c>
      <c r="C13" s="7" t="s">
        <v>855</v>
      </c>
      <c r="D13" s="7" t="s">
        <v>836</v>
      </c>
      <c r="E13" s="7" t="s">
        <v>837</v>
      </c>
      <c r="F13" s="7" t="s">
        <v>846</v>
      </c>
    </row>
    <row r="14" spans="1:6" ht="15.75" customHeight="1" x14ac:dyDescent="0.3">
      <c r="A14" s="6" t="s">
        <v>834</v>
      </c>
      <c r="B14" s="6" t="s">
        <v>102</v>
      </c>
      <c r="C14" s="6" t="s">
        <v>856</v>
      </c>
      <c r="D14" s="6" t="s">
        <v>836</v>
      </c>
      <c r="E14" s="6" t="s">
        <v>837</v>
      </c>
      <c r="F14" s="6" t="s">
        <v>846</v>
      </c>
    </row>
    <row r="15" spans="1:6" ht="15.75" customHeight="1" x14ac:dyDescent="0.3">
      <c r="A15" s="7" t="s">
        <v>834</v>
      </c>
      <c r="B15" s="7" t="s">
        <v>108</v>
      </c>
      <c r="C15" s="7" t="s">
        <v>857</v>
      </c>
      <c r="D15" s="7" t="s">
        <v>836</v>
      </c>
      <c r="E15" s="7" t="s">
        <v>837</v>
      </c>
      <c r="F15" s="7" t="s">
        <v>846</v>
      </c>
    </row>
    <row r="16" spans="1:6" ht="15.75" customHeight="1" x14ac:dyDescent="0.3">
      <c r="A16" s="6" t="s">
        <v>834</v>
      </c>
      <c r="B16" s="6" t="s">
        <v>858</v>
      </c>
      <c r="C16" s="6" t="s">
        <v>859</v>
      </c>
      <c r="D16" s="6" t="s">
        <v>836</v>
      </c>
      <c r="E16" s="6" t="s">
        <v>837</v>
      </c>
      <c r="F16" s="6" t="s">
        <v>846</v>
      </c>
    </row>
    <row r="17" spans="1:6" ht="15.75" customHeight="1" x14ac:dyDescent="0.3">
      <c r="A17" s="7" t="s">
        <v>834</v>
      </c>
      <c r="B17" s="7" t="s">
        <v>860</v>
      </c>
      <c r="C17" s="7" t="s">
        <v>861</v>
      </c>
      <c r="D17" s="7" t="s">
        <v>836</v>
      </c>
      <c r="E17" s="7" t="s">
        <v>837</v>
      </c>
      <c r="F17" s="7" t="s">
        <v>846</v>
      </c>
    </row>
    <row r="18" spans="1:6" ht="15.75" customHeight="1" x14ac:dyDescent="0.3">
      <c r="A18" s="6"/>
      <c r="B18" s="6"/>
      <c r="C18" s="6"/>
      <c r="D18" s="6"/>
      <c r="E18" s="6"/>
      <c r="F18" s="6"/>
    </row>
    <row r="19" spans="1:6" ht="15.75" customHeight="1" x14ac:dyDescent="0.3">
      <c r="A19" s="15" t="s">
        <v>862</v>
      </c>
      <c r="B19" s="15"/>
      <c r="C19" s="15"/>
      <c r="D19" s="15"/>
      <c r="E19" s="15"/>
      <c r="F19" s="15"/>
    </row>
    <row r="20" spans="1:6" ht="15.75" customHeight="1" x14ac:dyDescent="0.3">
      <c r="A20" s="6" t="s">
        <v>863</v>
      </c>
      <c r="B20" s="6" t="s">
        <v>864</v>
      </c>
      <c r="C20" s="6" t="s">
        <v>865</v>
      </c>
      <c r="D20" s="6" t="s">
        <v>866</v>
      </c>
      <c r="E20" s="6" t="s">
        <v>129</v>
      </c>
      <c r="F20" s="6" t="s">
        <v>867</v>
      </c>
    </row>
    <row r="21" spans="1:6" ht="15.75" customHeight="1" x14ac:dyDescent="0.3">
      <c r="A21" s="7" t="s">
        <v>863</v>
      </c>
      <c r="B21" s="7" t="s">
        <v>868</v>
      </c>
      <c r="C21" s="7" t="s">
        <v>869</v>
      </c>
      <c r="D21" s="7" t="s">
        <v>870</v>
      </c>
      <c r="E21" s="7" t="s">
        <v>871</v>
      </c>
      <c r="F21" s="7" t="s">
        <v>867</v>
      </c>
    </row>
    <row r="22" spans="1:6" ht="15.75" customHeight="1" x14ac:dyDescent="0.3">
      <c r="A22" s="6" t="s">
        <v>863</v>
      </c>
      <c r="B22" s="6" t="s">
        <v>872</v>
      </c>
      <c r="C22" s="6" t="s">
        <v>873</v>
      </c>
      <c r="D22" s="6" t="s">
        <v>866</v>
      </c>
      <c r="E22" s="6" t="s">
        <v>129</v>
      </c>
      <c r="F22" s="6" t="s">
        <v>874</v>
      </c>
    </row>
    <row r="23" spans="1:6" ht="15.75" customHeight="1" x14ac:dyDescent="0.3">
      <c r="A23" s="7" t="s">
        <v>863</v>
      </c>
      <c r="B23" s="7" t="s">
        <v>875</v>
      </c>
      <c r="C23" s="7" t="s">
        <v>876</v>
      </c>
      <c r="D23" s="7" t="s">
        <v>870</v>
      </c>
      <c r="E23" s="7" t="s">
        <v>871</v>
      </c>
      <c r="F23" s="7" t="s">
        <v>867</v>
      </c>
    </row>
    <row r="24" spans="1:6" ht="15.75" customHeight="1" x14ac:dyDescent="0.3">
      <c r="A24" s="6" t="s">
        <v>863</v>
      </c>
      <c r="B24" s="6" t="s">
        <v>877</v>
      </c>
      <c r="C24" s="6" t="s">
        <v>878</v>
      </c>
      <c r="D24" s="6" t="s">
        <v>866</v>
      </c>
      <c r="E24" s="6" t="s">
        <v>129</v>
      </c>
      <c r="F24" s="6" t="s">
        <v>879</v>
      </c>
    </row>
    <row r="25" spans="1:6" ht="15.75" customHeight="1" x14ac:dyDescent="0.3">
      <c r="A25" s="7" t="s">
        <v>863</v>
      </c>
      <c r="B25" s="7" t="s">
        <v>880</v>
      </c>
      <c r="C25" s="7" t="s">
        <v>881</v>
      </c>
      <c r="D25" s="7" t="s">
        <v>866</v>
      </c>
      <c r="E25" s="7" t="s">
        <v>129</v>
      </c>
      <c r="F25" s="7" t="s">
        <v>882</v>
      </c>
    </row>
    <row r="26" spans="1:6" ht="15.75" customHeight="1" x14ac:dyDescent="0.3">
      <c r="A26" s="6" t="s">
        <v>863</v>
      </c>
      <c r="B26" s="6" t="s">
        <v>883</v>
      </c>
      <c r="C26" s="6" t="s">
        <v>884</v>
      </c>
      <c r="D26" s="6" t="s">
        <v>885</v>
      </c>
      <c r="E26" s="6" t="s">
        <v>129</v>
      </c>
      <c r="F26" s="6" t="s">
        <v>867</v>
      </c>
    </row>
    <row r="27" spans="1:6" ht="15.75" customHeight="1" x14ac:dyDescent="0.3">
      <c r="A27" s="7" t="s">
        <v>863</v>
      </c>
      <c r="B27" s="7" t="s">
        <v>886</v>
      </c>
      <c r="C27" s="7" t="s">
        <v>887</v>
      </c>
      <c r="D27" s="7" t="s">
        <v>885</v>
      </c>
      <c r="E27" s="7" t="s">
        <v>129</v>
      </c>
      <c r="F27" s="7" t="s">
        <v>867</v>
      </c>
    </row>
    <row r="28" spans="1:6" ht="15.75" customHeight="1" x14ac:dyDescent="0.3">
      <c r="A28" s="6" t="s">
        <v>863</v>
      </c>
      <c r="B28" s="6" t="s">
        <v>888</v>
      </c>
      <c r="C28" s="6" t="s">
        <v>889</v>
      </c>
      <c r="D28" s="6" t="s">
        <v>890</v>
      </c>
      <c r="E28" s="6" t="s">
        <v>891</v>
      </c>
      <c r="F28" s="6" t="s">
        <v>892</v>
      </c>
    </row>
    <row r="29" spans="1:6" ht="15.75" customHeight="1" x14ac:dyDescent="0.3">
      <c r="A29" s="7"/>
      <c r="B29" s="7"/>
      <c r="C29" s="7"/>
      <c r="D29" s="7"/>
      <c r="E29" s="7"/>
      <c r="F29" s="7"/>
    </row>
    <row r="30" spans="1:6" ht="15.75" customHeight="1" x14ac:dyDescent="0.3">
      <c r="A30" s="14" t="s">
        <v>893</v>
      </c>
      <c r="B30" s="14"/>
      <c r="C30" s="14"/>
      <c r="D30" s="14"/>
      <c r="E30" s="14"/>
      <c r="F30" s="14"/>
    </row>
    <row r="31" spans="1:6" ht="15.75" customHeight="1" x14ac:dyDescent="0.3">
      <c r="A31" s="7" t="s">
        <v>894</v>
      </c>
      <c r="B31" s="7" t="s">
        <v>895</v>
      </c>
      <c r="C31" s="7" t="s">
        <v>896</v>
      </c>
      <c r="D31" s="7" t="s">
        <v>897</v>
      </c>
      <c r="E31" s="7" t="s">
        <v>129</v>
      </c>
      <c r="F31" s="7" t="s">
        <v>867</v>
      </c>
    </row>
    <row r="32" spans="1:6" ht="15.75" customHeight="1" x14ac:dyDescent="0.3">
      <c r="A32" s="6" t="s">
        <v>894</v>
      </c>
      <c r="B32" s="6" t="s">
        <v>898</v>
      </c>
      <c r="C32" s="6" t="s">
        <v>899</v>
      </c>
      <c r="D32" s="6" t="s">
        <v>897</v>
      </c>
      <c r="E32" s="6" t="s">
        <v>129</v>
      </c>
      <c r="F32" s="6" t="s">
        <v>867</v>
      </c>
    </row>
    <row r="33" spans="1:6" ht="15.75" customHeight="1" x14ac:dyDescent="0.3">
      <c r="A33" s="7" t="s">
        <v>894</v>
      </c>
      <c r="B33" s="7" t="s">
        <v>900</v>
      </c>
      <c r="C33" s="7" t="s">
        <v>210</v>
      </c>
      <c r="D33" s="7" t="s">
        <v>901</v>
      </c>
      <c r="E33" s="7" t="s">
        <v>129</v>
      </c>
      <c r="F33" s="7" t="s">
        <v>867</v>
      </c>
    </row>
    <row r="34" spans="1:6" ht="15.75" customHeight="1" x14ac:dyDescent="0.3">
      <c r="A34" s="6" t="s">
        <v>894</v>
      </c>
      <c r="B34" s="6" t="s">
        <v>902</v>
      </c>
      <c r="C34" s="6" t="s">
        <v>213</v>
      </c>
      <c r="D34" s="6" t="s">
        <v>870</v>
      </c>
      <c r="E34" s="6" t="s">
        <v>129</v>
      </c>
      <c r="F34" s="6" t="s">
        <v>867</v>
      </c>
    </row>
    <row r="35" spans="1:6" ht="15.75" customHeight="1" x14ac:dyDescent="0.3">
      <c r="A35" s="7" t="s">
        <v>894</v>
      </c>
      <c r="B35" s="7" t="s">
        <v>903</v>
      </c>
      <c r="C35" s="7" t="s">
        <v>904</v>
      </c>
      <c r="D35" s="7" t="s">
        <v>905</v>
      </c>
      <c r="E35" s="7" t="s">
        <v>129</v>
      </c>
      <c r="F35" s="7" t="s">
        <v>867</v>
      </c>
    </row>
    <row r="36" spans="1:6" ht="15.75" customHeight="1" x14ac:dyDescent="0.3">
      <c r="A36" s="6" t="s">
        <v>894</v>
      </c>
      <c r="B36" s="6" t="s">
        <v>906</v>
      </c>
      <c r="C36" s="6" t="s">
        <v>907</v>
      </c>
      <c r="D36" s="6" t="s">
        <v>897</v>
      </c>
      <c r="E36" s="6" t="s">
        <v>129</v>
      </c>
      <c r="F36" s="6" t="s">
        <v>867</v>
      </c>
    </row>
    <row r="37" spans="1:6" ht="15.75" customHeight="1" x14ac:dyDescent="0.3">
      <c r="A37" s="7" t="s">
        <v>894</v>
      </c>
      <c r="B37" s="7" t="s">
        <v>908</v>
      </c>
      <c r="C37" s="7" t="s">
        <v>909</v>
      </c>
      <c r="D37" s="7" t="s">
        <v>836</v>
      </c>
      <c r="E37" s="7" t="s">
        <v>129</v>
      </c>
      <c r="F37" s="7" t="s">
        <v>867</v>
      </c>
    </row>
    <row r="38" spans="1:6" ht="15.75" customHeight="1" x14ac:dyDescent="0.3">
      <c r="A38" s="6" t="s">
        <v>894</v>
      </c>
      <c r="B38" s="6" t="s">
        <v>910</v>
      </c>
      <c r="C38" s="6" t="s">
        <v>911</v>
      </c>
      <c r="D38" s="6" t="s">
        <v>870</v>
      </c>
      <c r="E38" s="6" t="s">
        <v>129</v>
      </c>
      <c r="F38" s="6" t="s">
        <v>912</v>
      </c>
    </row>
    <row r="39" spans="1:6" ht="15.75" customHeight="1" x14ac:dyDescent="0.3">
      <c r="A39" s="7" t="s">
        <v>894</v>
      </c>
      <c r="B39" s="7" t="s">
        <v>913</v>
      </c>
      <c r="C39" s="7" t="s">
        <v>914</v>
      </c>
      <c r="D39" s="7" t="s">
        <v>870</v>
      </c>
      <c r="E39" s="7" t="s">
        <v>129</v>
      </c>
      <c r="F39" s="7" t="s">
        <v>912</v>
      </c>
    </row>
    <row r="40" spans="1:6" ht="15.75" customHeight="1" x14ac:dyDescent="0.3">
      <c r="A40" s="6" t="s">
        <v>894</v>
      </c>
      <c r="B40" s="6" t="s">
        <v>915</v>
      </c>
      <c r="C40" s="6" t="s">
        <v>916</v>
      </c>
      <c r="D40" s="6" t="s">
        <v>870</v>
      </c>
      <c r="E40" s="6" t="s">
        <v>129</v>
      </c>
      <c r="F40" s="6" t="s">
        <v>912</v>
      </c>
    </row>
    <row r="41" spans="1:6" ht="15.75" customHeight="1" x14ac:dyDescent="0.3">
      <c r="A41" s="7"/>
      <c r="B41" s="7"/>
      <c r="C41" s="7"/>
      <c r="D41" s="7"/>
      <c r="E41" s="7"/>
      <c r="F41" s="7"/>
    </row>
    <row r="42" spans="1:6" ht="15.75" customHeight="1" x14ac:dyDescent="0.3">
      <c r="A42" s="14" t="s">
        <v>917</v>
      </c>
      <c r="B42" s="14"/>
      <c r="C42" s="14"/>
      <c r="D42" s="14"/>
      <c r="E42" s="14"/>
      <c r="F42" s="14"/>
    </row>
    <row r="43" spans="1:6" ht="15.75" customHeight="1" x14ac:dyDescent="0.3">
      <c r="A43" s="7" t="s">
        <v>918</v>
      </c>
      <c r="B43" s="7" t="s">
        <v>919</v>
      </c>
      <c r="C43" s="7" t="s">
        <v>920</v>
      </c>
      <c r="D43" s="7" t="s">
        <v>836</v>
      </c>
      <c r="E43" s="7" t="s">
        <v>891</v>
      </c>
      <c r="F43" s="7" t="s">
        <v>921</v>
      </c>
    </row>
    <row r="44" spans="1:6" ht="15.75" customHeight="1" x14ac:dyDescent="0.3">
      <c r="A44" s="6" t="s">
        <v>918</v>
      </c>
      <c r="B44" s="6" t="s">
        <v>922</v>
      </c>
      <c r="C44" s="6" t="s">
        <v>923</v>
      </c>
      <c r="D44" s="6" t="s">
        <v>836</v>
      </c>
      <c r="E44" s="6" t="s">
        <v>891</v>
      </c>
      <c r="F44" s="6" t="s">
        <v>921</v>
      </c>
    </row>
    <row r="45" spans="1:6" ht="15.75" customHeight="1" x14ac:dyDescent="0.3">
      <c r="A45" s="7" t="s">
        <v>918</v>
      </c>
      <c r="B45" s="7" t="s">
        <v>924</v>
      </c>
      <c r="C45" s="7" t="s">
        <v>925</v>
      </c>
      <c r="D45" s="7" t="s">
        <v>836</v>
      </c>
      <c r="E45" s="7" t="s">
        <v>891</v>
      </c>
      <c r="F45" s="7" t="s">
        <v>926</v>
      </c>
    </row>
    <row r="46" spans="1:6" ht="15.75" customHeight="1" x14ac:dyDescent="0.3">
      <c r="A46" s="6" t="s">
        <v>918</v>
      </c>
      <c r="B46" s="6" t="s">
        <v>927</v>
      </c>
      <c r="C46" s="6" t="s">
        <v>925</v>
      </c>
      <c r="D46" s="6" t="s">
        <v>836</v>
      </c>
      <c r="E46" s="6" t="s">
        <v>891</v>
      </c>
      <c r="F46" s="6" t="s">
        <v>926</v>
      </c>
    </row>
    <row r="47" spans="1:6" ht="15.75" customHeight="1" x14ac:dyDescent="0.3">
      <c r="A47" s="7" t="s">
        <v>918</v>
      </c>
      <c r="B47" s="7" t="s">
        <v>928</v>
      </c>
      <c r="C47" s="7" t="s">
        <v>929</v>
      </c>
      <c r="D47" s="7" t="s">
        <v>836</v>
      </c>
      <c r="E47" s="7" t="s">
        <v>891</v>
      </c>
      <c r="F47" s="7" t="s">
        <v>926</v>
      </c>
    </row>
    <row r="48" spans="1:6" ht="15.75" customHeight="1" x14ac:dyDescent="0.3">
      <c r="A48" s="6" t="s">
        <v>918</v>
      </c>
      <c r="B48" s="6" t="s">
        <v>930</v>
      </c>
      <c r="C48" s="6" t="s">
        <v>931</v>
      </c>
      <c r="D48" s="6" t="s">
        <v>836</v>
      </c>
      <c r="E48" s="6" t="s">
        <v>891</v>
      </c>
      <c r="F48" s="6" t="s">
        <v>932</v>
      </c>
    </row>
    <row r="49" spans="1:6" ht="15.75" customHeight="1" x14ac:dyDescent="0.3">
      <c r="A49" s="7" t="s">
        <v>918</v>
      </c>
      <c r="B49" s="7" t="s">
        <v>933</v>
      </c>
      <c r="C49" s="7" t="s">
        <v>934</v>
      </c>
      <c r="D49" s="7" t="s">
        <v>836</v>
      </c>
      <c r="E49" s="7" t="s">
        <v>891</v>
      </c>
      <c r="F49" s="7" t="s">
        <v>932</v>
      </c>
    </row>
    <row r="50" spans="1:6" ht="15.75" customHeight="1" x14ac:dyDescent="0.3">
      <c r="A50" s="6" t="s">
        <v>918</v>
      </c>
      <c r="B50" s="6" t="s">
        <v>935</v>
      </c>
      <c r="C50" s="6" t="s">
        <v>936</v>
      </c>
      <c r="D50" s="6" t="s">
        <v>836</v>
      </c>
      <c r="E50" s="6" t="s">
        <v>891</v>
      </c>
      <c r="F50" s="6" t="s">
        <v>932</v>
      </c>
    </row>
    <row r="51" spans="1:6" ht="15.75" customHeight="1" x14ac:dyDescent="0.3">
      <c r="A51" s="7" t="s">
        <v>918</v>
      </c>
      <c r="B51" s="7" t="s">
        <v>937</v>
      </c>
      <c r="C51" s="7" t="s">
        <v>938</v>
      </c>
      <c r="D51" s="7" t="s">
        <v>836</v>
      </c>
      <c r="E51" s="7" t="s">
        <v>891</v>
      </c>
      <c r="F51" s="7" t="s">
        <v>932</v>
      </c>
    </row>
    <row r="52" spans="1:6" ht="15.75" customHeight="1" x14ac:dyDescent="0.3">
      <c r="A52" s="6" t="s">
        <v>918</v>
      </c>
      <c r="B52" s="6" t="s">
        <v>939</v>
      </c>
      <c r="C52" s="6" t="s">
        <v>940</v>
      </c>
      <c r="D52" s="6" t="s">
        <v>836</v>
      </c>
      <c r="E52" s="6" t="s">
        <v>891</v>
      </c>
      <c r="F52" s="6" t="s">
        <v>932</v>
      </c>
    </row>
    <row r="53" spans="1:6" ht="15.75" customHeight="1" x14ac:dyDescent="0.3">
      <c r="A53" s="7" t="s">
        <v>918</v>
      </c>
      <c r="B53" s="7" t="s">
        <v>941</v>
      </c>
      <c r="C53" s="7" t="s">
        <v>264</v>
      </c>
      <c r="D53" s="7" t="s">
        <v>836</v>
      </c>
      <c r="E53" s="7" t="s">
        <v>891</v>
      </c>
      <c r="F53" s="7" t="s">
        <v>932</v>
      </c>
    </row>
    <row r="54" spans="1:6" ht="15.75" customHeight="1" x14ac:dyDescent="0.3">
      <c r="A54" s="6" t="s">
        <v>918</v>
      </c>
      <c r="B54" s="6" t="s">
        <v>942</v>
      </c>
      <c r="C54" s="6" t="s">
        <v>938</v>
      </c>
      <c r="D54" s="6" t="s">
        <v>836</v>
      </c>
      <c r="E54" s="6" t="s">
        <v>891</v>
      </c>
      <c r="F54" s="6" t="s">
        <v>932</v>
      </c>
    </row>
    <row r="55" spans="1:6" ht="15.75" customHeight="1" x14ac:dyDescent="0.3">
      <c r="A55" s="7" t="s">
        <v>918</v>
      </c>
      <c r="B55" s="7" t="s">
        <v>943</v>
      </c>
      <c r="C55" s="7" t="s">
        <v>944</v>
      </c>
      <c r="D55" s="7" t="s">
        <v>836</v>
      </c>
      <c r="E55" s="7" t="s">
        <v>891</v>
      </c>
      <c r="F55" s="7" t="s">
        <v>932</v>
      </c>
    </row>
    <row r="56" spans="1:6" ht="15.75" customHeight="1" x14ac:dyDescent="0.3">
      <c r="A56" s="6" t="s">
        <v>918</v>
      </c>
      <c r="B56" s="6" t="s">
        <v>945</v>
      </c>
      <c r="C56" s="6" t="s">
        <v>940</v>
      </c>
      <c r="D56" s="6" t="s">
        <v>836</v>
      </c>
      <c r="E56" s="6" t="s">
        <v>891</v>
      </c>
      <c r="F56" s="6" t="s">
        <v>932</v>
      </c>
    </row>
    <row r="57" spans="1:6" ht="15.75" customHeight="1" x14ac:dyDescent="0.3">
      <c r="A57" s="7" t="s">
        <v>918</v>
      </c>
      <c r="B57" s="7" t="s">
        <v>946</v>
      </c>
      <c r="C57" s="7" t="s">
        <v>947</v>
      </c>
      <c r="D57" s="7" t="s">
        <v>836</v>
      </c>
      <c r="E57" s="7" t="s">
        <v>891</v>
      </c>
      <c r="F57" s="7" t="s">
        <v>932</v>
      </c>
    </row>
    <row r="58" spans="1:6" ht="15.75" customHeight="1" x14ac:dyDescent="0.3">
      <c r="A58" s="6" t="s">
        <v>918</v>
      </c>
      <c r="B58" s="6" t="s">
        <v>948</v>
      </c>
      <c r="C58" s="6" t="s">
        <v>949</v>
      </c>
      <c r="D58" s="6" t="s">
        <v>836</v>
      </c>
      <c r="E58" s="6" t="s">
        <v>891</v>
      </c>
      <c r="F58" s="6" t="s">
        <v>932</v>
      </c>
    </row>
    <row r="59" spans="1:6" ht="15.75" customHeight="1" x14ac:dyDescent="0.3">
      <c r="A59" s="7" t="s">
        <v>918</v>
      </c>
      <c r="B59" s="7" t="s">
        <v>950</v>
      </c>
      <c r="C59" s="7" t="s">
        <v>480</v>
      </c>
      <c r="D59" s="7" t="s">
        <v>836</v>
      </c>
      <c r="E59" s="7" t="s">
        <v>891</v>
      </c>
      <c r="F59" s="7" t="s">
        <v>932</v>
      </c>
    </row>
    <row r="60" spans="1:6" ht="15.75" customHeight="1" x14ac:dyDescent="0.3">
      <c r="A60" s="6" t="s">
        <v>918</v>
      </c>
      <c r="B60" s="6" t="s">
        <v>951</v>
      </c>
      <c r="C60" s="6" t="s">
        <v>952</v>
      </c>
      <c r="D60" s="6" t="s">
        <v>836</v>
      </c>
      <c r="E60" s="6" t="s">
        <v>891</v>
      </c>
      <c r="F60" s="6" t="s">
        <v>932</v>
      </c>
    </row>
    <row r="61" spans="1:6" ht="15.75" customHeight="1" x14ac:dyDescent="0.3">
      <c r="A61" s="7" t="s">
        <v>918</v>
      </c>
      <c r="B61" s="7" t="s">
        <v>953</v>
      </c>
      <c r="C61" s="7" t="s">
        <v>938</v>
      </c>
      <c r="D61" s="7" t="s">
        <v>836</v>
      </c>
      <c r="E61" s="7" t="s">
        <v>891</v>
      </c>
      <c r="F61" s="7" t="s">
        <v>932</v>
      </c>
    </row>
    <row r="62" spans="1:6" ht="15.75" customHeight="1" x14ac:dyDescent="0.3">
      <c r="A62" s="6" t="s">
        <v>918</v>
      </c>
      <c r="B62" s="6" t="s">
        <v>954</v>
      </c>
      <c r="C62" s="6" t="s">
        <v>955</v>
      </c>
      <c r="D62" s="6" t="s">
        <v>836</v>
      </c>
      <c r="E62" s="6" t="s">
        <v>891</v>
      </c>
      <c r="F62" s="6" t="s">
        <v>932</v>
      </c>
    </row>
    <row r="63" spans="1:6" ht="15.75" customHeight="1" x14ac:dyDescent="0.3">
      <c r="A63" s="7" t="s">
        <v>918</v>
      </c>
      <c r="B63" s="7" t="s">
        <v>956</v>
      </c>
      <c r="C63" s="7" t="s">
        <v>957</v>
      </c>
      <c r="D63" s="7" t="s">
        <v>836</v>
      </c>
      <c r="E63" s="7" t="s">
        <v>891</v>
      </c>
      <c r="F63" s="7" t="s">
        <v>958</v>
      </c>
    </row>
    <row r="64" spans="1:6" ht="15.75" customHeight="1" x14ac:dyDescent="0.3">
      <c r="A64" s="6" t="s">
        <v>918</v>
      </c>
      <c r="B64" s="6" t="s">
        <v>959</v>
      </c>
      <c r="C64" s="6" t="s">
        <v>960</v>
      </c>
      <c r="D64" s="6" t="s">
        <v>836</v>
      </c>
      <c r="E64" s="6" t="s">
        <v>891</v>
      </c>
      <c r="F64" s="6" t="s">
        <v>932</v>
      </c>
    </row>
    <row r="65" spans="1:6" ht="15.75" customHeight="1" x14ac:dyDescent="0.3">
      <c r="A65" s="7" t="s">
        <v>918</v>
      </c>
      <c r="B65" s="7" t="s">
        <v>961</v>
      </c>
      <c r="C65" s="7" t="s">
        <v>962</v>
      </c>
      <c r="D65" s="7" t="s">
        <v>836</v>
      </c>
      <c r="E65" s="7" t="s">
        <v>891</v>
      </c>
      <c r="F65" s="7" t="s">
        <v>963</v>
      </c>
    </row>
    <row r="66" spans="1:6" ht="15.75" customHeight="1" x14ac:dyDescent="0.3">
      <c r="A66" s="6"/>
      <c r="B66" s="6"/>
      <c r="C66" s="6"/>
      <c r="D66" s="6"/>
      <c r="E66" s="6"/>
      <c r="F66" s="6"/>
    </row>
    <row r="67" spans="1:6" ht="15.75" customHeight="1" x14ac:dyDescent="0.3">
      <c r="A67" s="15" t="s">
        <v>964</v>
      </c>
      <c r="B67" s="15"/>
      <c r="C67" s="15"/>
      <c r="D67" s="15"/>
      <c r="E67" s="15"/>
      <c r="F67" s="15"/>
    </row>
    <row r="68" spans="1:6" ht="15.75" customHeight="1" x14ac:dyDescent="0.3">
      <c r="A68" s="6" t="s">
        <v>965</v>
      </c>
      <c r="B68" s="6" t="s">
        <v>966</v>
      </c>
      <c r="C68" s="6" t="s">
        <v>967</v>
      </c>
      <c r="D68" s="6" t="s">
        <v>870</v>
      </c>
      <c r="E68" s="6" t="s">
        <v>968</v>
      </c>
      <c r="F68" s="6" t="s">
        <v>969</v>
      </c>
    </row>
    <row r="69" spans="1:6" ht="15.75" customHeight="1" x14ac:dyDescent="0.3">
      <c r="A69" s="7" t="s">
        <v>965</v>
      </c>
      <c r="B69" s="7" t="s">
        <v>970</v>
      </c>
      <c r="C69" s="7" t="s">
        <v>971</v>
      </c>
      <c r="D69" s="7" t="s">
        <v>870</v>
      </c>
      <c r="E69" s="7" t="s">
        <v>972</v>
      </c>
      <c r="F69" s="7" t="s">
        <v>841</v>
      </c>
    </row>
    <row r="70" spans="1:6" ht="15.75" customHeight="1" x14ac:dyDescent="0.3">
      <c r="A70" s="6" t="s">
        <v>965</v>
      </c>
      <c r="B70" s="6" t="s">
        <v>973</v>
      </c>
      <c r="C70" s="6" t="s">
        <v>974</v>
      </c>
      <c r="D70" s="6" t="s">
        <v>975</v>
      </c>
      <c r="E70" s="6" t="s">
        <v>976</v>
      </c>
      <c r="F70" s="6" t="s">
        <v>977</v>
      </c>
    </row>
    <row r="71" spans="1:6" ht="15.75" customHeight="1" x14ac:dyDescent="0.3">
      <c r="A71" s="7" t="s">
        <v>965</v>
      </c>
      <c r="B71" s="7" t="s">
        <v>978</v>
      </c>
      <c r="C71" s="7" t="s">
        <v>979</v>
      </c>
      <c r="D71" s="7" t="s">
        <v>980</v>
      </c>
      <c r="E71" s="7" t="s">
        <v>891</v>
      </c>
      <c r="F71" s="7" t="s">
        <v>981</v>
      </c>
    </row>
    <row r="72" spans="1:6" ht="15.75" customHeight="1" x14ac:dyDescent="0.3">
      <c r="A72" s="6" t="s">
        <v>965</v>
      </c>
      <c r="B72" s="6" t="s">
        <v>982</v>
      </c>
      <c r="C72" s="6" t="s">
        <v>983</v>
      </c>
      <c r="D72" s="6" t="s">
        <v>984</v>
      </c>
      <c r="E72" s="6" t="s">
        <v>985</v>
      </c>
      <c r="F72" s="6" t="s">
        <v>841</v>
      </c>
    </row>
    <row r="73" spans="1:6" ht="15.75" customHeight="1" x14ac:dyDescent="0.3">
      <c r="A73" s="7" t="s">
        <v>965</v>
      </c>
      <c r="B73" s="7" t="s">
        <v>986</v>
      </c>
      <c r="C73" s="7" t="s">
        <v>987</v>
      </c>
      <c r="D73" s="7" t="s">
        <v>870</v>
      </c>
      <c r="E73" s="7" t="s">
        <v>985</v>
      </c>
      <c r="F73" s="7" t="s">
        <v>841</v>
      </c>
    </row>
    <row r="74" spans="1:6" ht="15.75" customHeight="1" x14ac:dyDescent="0.3">
      <c r="A74" s="6" t="s">
        <v>965</v>
      </c>
      <c r="B74" s="6" t="s">
        <v>988</v>
      </c>
      <c r="C74" s="6" t="s">
        <v>989</v>
      </c>
      <c r="D74" s="6"/>
      <c r="E74" s="6" t="s">
        <v>985</v>
      </c>
      <c r="F74" s="6" t="s">
        <v>841</v>
      </c>
    </row>
    <row r="75" spans="1:6" ht="15.75" customHeight="1" x14ac:dyDescent="0.3">
      <c r="A75" s="7"/>
      <c r="B75" s="7"/>
      <c r="C75" s="7"/>
      <c r="D75" s="7"/>
      <c r="E75" s="7"/>
      <c r="F75" s="7"/>
    </row>
    <row r="76" spans="1:6" ht="15.75" customHeight="1" x14ac:dyDescent="0.3">
      <c r="A76" s="14" t="s">
        <v>990</v>
      </c>
      <c r="B76" s="14"/>
      <c r="C76" s="14"/>
      <c r="D76" s="14"/>
      <c r="E76" s="14"/>
      <c r="F76" s="14"/>
    </row>
    <row r="77" spans="1:6" ht="15.75" customHeight="1" x14ac:dyDescent="0.3">
      <c r="A77" s="7" t="s">
        <v>991</v>
      </c>
      <c r="B77" s="7" t="s">
        <v>992</v>
      </c>
      <c r="C77" s="7" t="s">
        <v>993</v>
      </c>
      <c r="D77" s="7" t="s">
        <v>866</v>
      </c>
      <c r="E77" s="7" t="s">
        <v>994</v>
      </c>
      <c r="F77" s="7" t="s">
        <v>357</v>
      </c>
    </row>
    <row r="78" spans="1:6" ht="15.75" customHeight="1" x14ac:dyDescent="0.3">
      <c r="A78" s="6" t="s">
        <v>991</v>
      </c>
      <c r="B78" s="6" t="s">
        <v>995</v>
      </c>
      <c r="C78" s="6" t="s">
        <v>996</v>
      </c>
      <c r="D78" s="6" t="s">
        <v>866</v>
      </c>
      <c r="E78" s="6" t="s">
        <v>994</v>
      </c>
      <c r="F78" s="6" t="s">
        <v>357</v>
      </c>
    </row>
    <row r="79" spans="1:6" ht="15.75" customHeight="1" x14ac:dyDescent="0.3">
      <c r="A79" s="7" t="s">
        <v>991</v>
      </c>
      <c r="B79" s="7" t="s">
        <v>997</v>
      </c>
      <c r="C79" s="7" t="s">
        <v>998</v>
      </c>
      <c r="D79" s="7" t="s">
        <v>866</v>
      </c>
      <c r="E79" s="7" t="s">
        <v>994</v>
      </c>
      <c r="F79" s="7" t="s">
        <v>357</v>
      </c>
    </row>
    <row r="80" spans="1:6" ht="15.75" customHeight="1" x14ac:dyDescent="0.3">
      <c r="A80" s="6" t="s">
        <v>991</v>
      </c>
      <c r="B80" s="6" t="s">
        <v>999</v>
      </c>
      <c r="C80" s="6" t="s">
        <v>1000</v>
      </c>
      <c r="D80" s="6" t="s">
        <v>866</v>
      </c>
      <c r="E80" s="6" t="s">
        <v>994</v>
      </c>
      <c r="F80" s="6" t="s">
        <v>357</v>
      </c>
    </row>
    <row r="81" spans="1:6" ht="15.75" customHeight="1" x14ac:dyDescent="0.3">
      <c r="A81" s="7" t="s">
        <v>991</v>
      </c>
      <c r="B81" s="7" t="s">
        <v>1001</v>
      </c>
      <c r="C81" s="7" t="s">
        <v>1002</v>
      </c>
      <c r="D81" s="7" t="s">
        <v>866</v>
      </c>
      <c r="E81" s="7" t="s">
        <v>994</v>
      </c>
      <c r="F81" s="7" t="s">
        <v>357</v>
      </c>
    </row>
    <row r="82" spans="1:6" ht="15.75" customHeight="1" x14ac:dyDescent="0.3">
      <c r="A82" s="6"/>
      <c r="B82" s="6"/>
      <c r="C82" s="6"/>
      <c r="D82" s="6"/>
      <c r="E82" s="6"/>
      <c r="F82" s="6"/>
    </row>
    <row r="83" spans="1:6" ht="15.75" customHeight="1" x14ac:dyDescent="0.3">
      <c r="A83" s="15" t="s">
        <v>1003</v>
      </c>
      <c r="B83" s="15"/>
      <c r="C83" s="15"/>
      <c r="D83" s="15"/>
      <c r="E83" s="15"/>
      <c r="F83" s="15"/>
    </row>
    <row r="84" spans="1:6" ht="15.75" customHeight="1" x14ac:dyDescent="0.3">
      <c r="A84" s="6" t="s">
        <v>1004</v>
      </c>
      <c r="B84" s="6" t="s">
        <v>9</v>
      </c>
      <c r="C84" s="6" t="s">
        <v>1005</v>
      </c>
      <c r="D84" s="6"/>
      <c r="E84" s="6" t="s">
        <v>1006</v>
      </c>
      <c r="F84" s="6" t="s">
        <v>1007</v>
      </c>
    </row>
    <row r="85" spans="1:6" ht="15.75" customHeight="1" x14ac:dyDescent="0.3">
      <c r="A85" s="7" t="s">
        <v>1004</v>
      </c>
      <c r="B85" s="7" t="s">
        <v>1008</v>
      </c>
      <c r="C85" s="7" t="s">
        <v>1009</v>
      </c>
      <c r="D85" s="7" t="s">
        <v>836</v>
      </c>
      <c r="E85" s="7" t="s">
        <v>1006</v>
      </c>
      <c r="F85" s="7" t="s">
        <v>1007</v>
      </c>
    </row>
    <row r="86" spans="1:6" ht="15.75" customHeight="1" x14ac:dyDescent="0.3">
      <c r="A86" s="6" t="s">
        <v>1004</v>
      </c>
      <c r="B86" s="6" t="s">
        <v>1010</v>
      </c>
      <c r="C86" s="6" t="s">
        <v>1011</v>
      </c>
      <c r="D86" s="6" t="s">
        <v>836</v>
      </c>
      <c r="E86" s="6" t="s">
        <v>267</v>
      </c>
      <c r="F86" s="6" t="s">
        <v>1007</v>
      </c>
    </row>
    <row r="87" spans="1:6" ht="15.75" customHeight="1" x14ac:dyDescent="0.3">
      <c r="A87" s="7" t="s">
        <v>1004</v>
      </c>
      <c r="B87" s="7" t="s">
        <v>1012</v>
      </c>
      <c r="C87" s="7" t="s">
        <v>1013</v>
      </c>
      <c r="D87" s="7"/>
      <c r="E87" s="7" t="s">
        <v>384</v>
      </c>
      <c r="F87" s="7" t="s">
        <v>1007</v>
      </c>
    </row>
    <row r="88" spans="1:6" ht="15.75" customHeight="1" x14ac:dyDescent="0.3">
      <c r="A88" s="6" t="s">
        <v>1004</v>
      </c>
      <c r="B88" s="6" t="s">
        <v>1014</v>
      </c>
      <c r="C88" s="6" t="s">
        <v>1015</v>
      </c>
      <c r="D88" s="6" t="s">
        <v>1016</v>
      </c>
      <c r="E88" s="6" t="s">
        <v>1017</v>
      </c>
      <c r="F88" s="6" t="s">
        <v>1007</v>
      </c>
    </row>
    <row r="89" spans="1:6" ht="15.75" customHeight="1" x14ac:dyDescent="0.3">
      <c r="A89" s="7" t="s">
        <v>1004</v>
      </c>
      <c r="B89" s="7" t="s">
        <v>1018</v>
      </c>
      <c r="C89" s="7" t="s">
        <v>1019</v>
      </c>
      <c r="D89" s="7" t="s">
        <v>1020</v>
      </c>
      <c r="E89" s="7" t="s">
        <v>1021</v>
      </c>
      <c r="F89" s="7" t="s">
        <v>1007</v>
      </c>
    </row>
    <row r="90" spans="1:6" ht="15.75" customHeight="1" x14ac:dyDescent="0.3">
      <c r="A90" s="6" t="s">
        <v>1004</v>
      </c>
      <c r="B90" s="6" t="s">
        <v>1022</v>
      </c>
      <c r="C90" s="6" t="s">
        <v>1023</v>
      </c>
      <c r="D90" s="6" t="s">
        <v>1020</v>
      </c>
      <c r="E90" s="6" t="s">
        <v>1021</v>
      </c>
      <c r="F90" s="6" t="s">
        <v>1007</v>
      </c>
    </row>
    <row r="91" spans="1:6" ht="15.75" customHeight="1" x14ac:dyDescent="0.3">
      <c r="A91" s="7" t="s">
        <v>1004</v>
      </c>
      <c r="B91" s="7" t="s">
        <v>1024</v>
      </c>
      <c r="C91" s="7" t="s">
        <v>1025</v>
      </c>
      <c r="D91" s="7" t="s">
        <v>1020</v>
      </c>
      <c r="E91" s="7" t="s">
        <v>1021</v>
      </c>
      <c r="F91" s="7" t="s">
        <v>1007</v>
      </c>
    </row>
    <row r="92" spans="1:6" ht="15.75" customHeight="1" x14ac:dyDescent="0.3">
      <c r="A92" s="6" t="s">
        <v>1004</v>
      </c>
      <c r="B92" s="6" t="s">
        <v>1026</v>
      </c>
      <c r="C92" s="6" t="s">
        <v>1027</v>
      </c>
      <c r="D92" s="6"/>
      <c r="E92" s="6" t="s">
        <v>1021</v>
      </c>
      <c r="F92" s="6" t="s">
        <v>1007</v>
      </c>
    </row>
    <row r="93" spans="1:6" ht="15.75" customHeight="1" x14ac:dyDescent="0.3">
      <c r="A93" s="7"/>
      <c r="B93" s="7"/>
      <c r="C93" s="7"/>
      <c r="D93" s="7"/>
      <c r="E93" s="7"/>
      <c r="F93" s="7"/>
    </row>
    <row r="94" spans="1:6" ht="15.75" customHeight="1" x14ac:dyDescent="0.3">
      <c r="A94" s="14" t="s">
        <v>1028</v>
      </c>
      <c r="B94" s="14"/>
      <c r="C94" s="14"/>
      <c r="D94" s="14"/>
      <c r="E94" s="14"/>
      <c r="F94" s="14"/>
    </row>
    <row r="95" spans="1:6" ht="15.75" customHeight="1" x14ac:dyDescent="0.3">
      <c r="A95" s="7" t="s">
        <v>1029</v>
      </c>
      <c r="B95" s="7" t="s">
        <v>1030</v>
      </c>
      <c r="C95" s="7" t="s">
        <v>1031</v>
      </c>
      <c r="D95" s="7"/>
      <c r="E95" s="7" t="s">
        <v>1032</v>
      </c>
      <c r="F95" s="7" t="s">
        <v>1033</v>
      </c>
    </row>
    <row r="96" spans="1:6" ht="15.75" customHeight="1" x14ac:dyDescent="0.3">
      <c r="A96" s="6" t="s">
        <v>1029</v>
      </c>
      <c r="B96" s="6" t="s">
        <v>1034</v>
      </c>
      <c r="C96" s="6" t="s">
        <v>1035</v>
      </c>
      <c r="D96" s="6" t="s">
        <v>836</v>
      </c>
      <c r="E96" s="6" t="s">
        <v>1036</v>
      </c>
      <c r="F96" s="6" t="s">
        <v>1033</v>
      </c>
    </row>
    <row r="97" spans="1:6" ht="15.75" customHeight="1" x14ac:dyDescent="0.3">
      <c r="A97" s="7" t="s">
        <v>1029</v>
      </c>
      <c r="B97" s="7" t="s">
        <v>1037</v>
      </c>
      <c r="C97" s="7" t="s">
        <v>1038</v>
      </c>
      <c r="D97" s="7" t="s">
        <v>836</v>
      </c>
      <c r="E97" s="7" t="s">
        <v>1036</v>
      </c>
      <c r="F97" s="7" t="s">
        <v>1033</v>
      </c>
    </row>
    <row r="98" spans="1:6" ht="15.75" customHeight="1" x14ac:dyDescent="0.3">
      <c r="A98" s="6" t="s">
        <v>1029</v>
      </c>
      <c r="B98" s="6" t="s">
        <v>1039</v>
      </c>
      <c r="C98" s="6" t="s">
        <v>1040</v>
      </c>
      <c r="D98" s="6" t="s">
        <v>836</v>
      </c>
      <c r="E98" s="6" t="s">
        <v>1041</v>
      </c>
      <c r="F98" s="6" t="s">
        <v>1042</v>
      </c>
    </row>
    <row r="99" spans="1:6" ht="15.75" customHeight="1" x14ac:dyDescent="0.3">
      <c r="A99" s="7" t="s">
        <v>1029</v>
      </c>
      <c r="B99" s="7" t="s">
        <v>1043</v>
      </c>
      <c r="C99" s="7" t="s">
        <v>1044</v>
      </c>
      <c r="D99" s="7" t="s">
        <v>975</v>
      </c>
      <c r="E99" s="7" t="s">
        <v>976</v>
      </c>
      <c r="F99" s="7" t="s">
        <v>912</v>
      </c>
    </row>
    <row r="100" spans="1:6" ht="15.75" customHeight="1" x14ac:dyDescent="0.3">
      <c r="A100" s="6"/>
      <c r="B100" s="6"/>
      <c r="C100" s="6"/>
      <c r="D100" s="6"/>
      <c r="E100" s="6"/>
      <c r="F100" s="6"/>
    </row>
    <row r="101" spans="1:6" ht="15.75" customHeight="1" x14ac:dyDescent="0.3">
      <c r="A101" s="15" t="s">
        <v>1045</v>
      </c>
      <c r="B101" s="15"/>
      <c r="C101" s="15"/>
      <c r="D101" s="15"/>
      <c r="E101" s="15"/>
      <c r="F101" s="15"/>
    </row>
    <row r="102" spans="1:6" ht="15.75" customHeight="1" x14ac:dyDescent="0.3">
      <c r="A102" s="6" t="s">
        <v>1046</v>
      </c>
      <c r="B102" s="6" t="s">
        <v>1047</v>
      </c>
      <c r="C102" s="6" t="s">
        <v>1048</v>
      </c>
      <c r="D102" s="6"/>
      <c r="E102" s="6" t="s">
        <v>1049</v>
      </c>
      <c r="F102" s="6" t="s">
        <v>1050</v>
      </c>
    </row>
    <row r="103" spans="1:6" ht="15.75" customHeight="1" x14ac:dyDescent="0.3">
      <c r="A103" s="7" t="s">
        <v>1046</v>
      </c>
      <c r="B103" s="7" t="s">
        <v>1051</v>
      </c>
      <c r="C103" s="7" t="s">
        <v>1052</v>
      </c>
      <c r="D103" s="7"/>
      <c r="E103" s="7" t="s">
        <v>436</v>
      </c>
      <c r="F103" s="7" t="s">
        <v>1050</v>
      </c>
    </row>
    <row r="104" spans="1:6" ht="15.75" customHeight="1" x14ac:dyDescent="0.3">
      <c r="A104" s="6" t="s">
        <v>1046</v>
      </c>
      <c r="B104" s="6" t="s">
        <v>1053</v>
      </c>
      <c r="C104" s="6" t="s">
        <v>1054</v>
      </c>
      <c r="D104" s="6"/>
      <c r="E104" s="6" t="s">
        <v>451</v>
      </c>
      <c r="F104" s="6" t="s">
        <v>1050</v>
      </c>
    </row>
    <row r="105" spans="1:6" ht="15.75" customHeight="1" x14ac:dyDescent="0.3">
      <c r="A105" s="7" t="s">
        <v>1046</v>
      </c>
      <c r="B105" s="7" t="s">
        <v>1055</v>
      </c>
      <c r="C105" s="7" t="s">
        <v>1056</v>
      </c>
      <c r="D105" s="7"/>
      <c r="E105" s="7" t="s">
        <v>223</v>
      </c>
      <c r="F105" s="7" t="s">
        <v>1050</v>
      </c>
    </row>
    <row r="106" spans="1:6" ht="15.75" customHeight="1" x14ac:dyDescent="0.3">
      <c r="A106" s="6" t="s">
        <v>1046</v>
      </c>
      <c r="B106" s="6" t="s">
        <v>1057</v>
      </c>
      <c r="C106" s="6" t="s">
        <v>1058</v>
      </c>
      <c r="D106" s="6"/>
      <c r="E106" s="6" t="s">
        <v>696</v>
      </c>
      <c r="F106" s="6" t="s">
        <v>1050</v>
      </c>
    </row>
    <row r="107" spans="1:6" ht="15.75" customHeight="1" x14ac:dyDescent="0.3">
      <c r="A107" s="7" t="s">
        <v>1046</v>
      </c>
      <c r="B107" s="7" t="s">
        <v>1059</v>
      </c>
      <c r="C107" s="7" t="s">
        <v>1060</v>
      </c>
      <c r="D107" s="7"/>
      <c r="E107" s="7" t="s">
        <v>472</v>
      </c>
      <c r="F107" s="7" t="s">
        <v>1050</v>
      </c>
    </row>
    <row r="108" spans="1:6" ht="15.75" customHeight="1" x14ac:dyDescent="0.3">
      <c r="A108" s="6" t="s">
        <v>1046</v>
      </c>
      <c r="B108" s="6" t="s">
        <v>1061</v>
      </c>
      <c r="C108" s="6" t="s">
        <v>1062</v>
      </c>
      <c r="D108" s="6" t="s">
        <v>1063</v>
      </c>
      <c r="E108" s="6" t="s">
        <v>1064</v>
      </c>
      <c r="F108" s="6" t="s">
        <v>1065</v>
      </c>
    </row>
    <row r="109" spans="1:6" ht="15.75" customHeight="1" x14ac:dyDescent="0.3">
      <c r="A109" s="7" t="s">
        <v>1046</v>
      </c>
      <c r="B109" s="7" t="s">
        <v>1066</v>
      </c>
      <c r="C109" s="7" t="s">
        <v>1067</v>
      </c>
      <c r="D109" s="7"/>
      <c r="E109" s="7" t="s">
        <v>1068</v>
      </c>
      <c r="F109" s="7" t="s">
        <v>1069</v>
      </c>
    </row>
    <row r="110" spans="1:6" ht="15.75" customHeight="1" x14ac:dyDescent="0.3">
      <c r="A110" s="6"/>
      <c r="B110" s="6"/>
      <c r="C110" s="6"/>
      <c r="D110" s="6"/>
      <c r="E110" s="6"/>
      <c r="F110" s="6"/>
    </row>
    <row r="111" spans="1:6" ht="15.75" customHeight="1" x14ac:dyDescent="0.3">
      <c r="A111" s="15" t="s">
        <v>1070</v>
      </c>
      <c r="B111" s="15"/>
      <c r="C111" s="15"/>
      <c r="D111" s="15"/>
      <c r="E111" s="15"/>
      <c r="F111" s="15"/>
    </row>
    <row r="112" spans="1:6" ht="15.75" customHeight="1" x14ac:dyDescent="0.3">
      <c r="A112" s="6" t="s">
        <v>1071</v>
      </c>
      <c r="B112" s="6" t="s">
        <v>1072</v>
      </c>
      <c r="C112" s="6" t="s">
        <v>1073</v>
      </c>
      <c r="D112" s="6"/>
      <c r="E112" s="6" t="s">
        <v>891</v>
      </c>
      <c r="F112" s="6" t="s">
        <v>1074</v>
      </c>
    </row>
    <row r="113" spans="1:6" ht="15.75" customHeight="1" x14ac:dyDescent="0.3">
      <c r="A113" s="7" t="s">
        <v>1071</v>
      </c>
      <c r="B113" s="7" t="s">
        <v>1075</v>
      </c>
      <c r="C113" s="7" t="s">
        <v>1076</v>
      </c>
      <c r="D113" s="7"/>
      <c r="E113" s="7" t="s">
        <v>891</v>
      </c>
      <c r="F113" s="7" t="s">
        <v>1074</v>
      </c>
    </row>
    <row r="114" spans="1:6" ht="15.75" customHeight="1" x14ac:dyDescent="0.3">
      <c r="A114" s="6" t="s">
        <v>1071</v>
      </c>
      <c r="B114" s="6" t="s">
        <v>1077</v>
      </c>
      <c r="C114" s="6" t="s">
        <v>1078</v>
      </c>
      <c r="D114" s="6"/>
      <c r="E114" s="6" t="s">
        <v>891</v>
      </c>
      <c r="F114" s="6" t="s">
        <v>1074</v>
      </c>
    </row>
    <row r="115" spans="1:6" ht="15.75" customHeight="1" x14ac:dyDescent="0.3">
      <c r="A115" s="7"/>
      <c r="B115" s="7"/>
      <c r="C115" s="7"/>
      <c r="D115" s="7"/>
      <c r="E115" s="7"/>
      <c r="F115" s="7"/>
    </row>
    <row r="116" spans="1:6" ht="15.75" customHeight="1" x14ac:dyDescent="0.3">
      <c r="A116" s="14" t="s">
        <v>1079</v>
      </c>
      <c r="B116" s="14"/>
      <c r="C116" s="14"/>
      <c r="D116" s="14"/>
      <c r="E116" s="14"/>
      <c r="F116" s="14"/>
    </row>
    <row r="117" spans="1:6" ht="15.75" customHeight="1" x14ac:dyDescent="0.3">
      <c r="A117" s="7" t="s">
        <v>1080</v>
      </c>
      <c r="B117" s="7" t="s">
        <v>1081</v>
      </c>
      <c r="C117" s="7" t="s">
        <v>1082</v>
      </c>
      <c r="D117" s="7"/>
      <c r="E117" s="7" t="s">
        <v>1049</v>
      </c>
      <c r="F117" s="7" t="s">
        <v>1083</v>
      </c>
    </row>
    <row r="118" spans="1:6" ht="15.75" customHeight="1" x14ac:dyDescent="0.3">
      <c r="A118" s="6" t="s">
        <v>1080</v>
      </c>
      <c r="B118" s="6" t="s">
        <v>1084</v>
      </c>
      <c r="C118" s="6" t="s">
        <v>1085</v>
      </c>
      <c r="D118" s="6"/>
      <c r="E118" s="6" t="s">
        <v>1086</v>
      </c>
      <c r="F118" s="6" t="s">
        <v>1083</v>
      </c>
    </row>
    <row r="119" spans="1:6" ht="15.75" customHeight="1" x14ac:dyDescent="0.3">
      <c r="A119" s="7" t="s">
        <v>1080</v>
      </c>
      <c r="B119" s="7" t="s">
        <v>1087</v>
      </c>
      <c r="C119" s="7" t="s">
        <v>1088</v>
      </c>
      <c r="D119" s="7"/>
      <c r="E119" s="7" t="s">
        <v>1049</v>
      </c>
      <c r="F119" s="7" t="s">
        <v>1083</v>
      </c>
    </row>
    <row r="120" spans="1:6" ht="15.75" customHeight="1" x14ac:dyDescent="0.3">
      <c r="A120" s="6" t="s">
        <v>1080</v>
      </c>
      <c r="B120" s="6" t="s">
        <v>1089</v>
      </c>
      <c r="C120" s="6" t="s">
        <v>1090</v>
      </c>
      <c r="D120" s="6"/>
      <c r="E120" s="6" t="s">
        <v>1091</v>
      </c>
      <c r="F120" s="6" t="s">
        <v>1092</v>
      </c>
    </row>
    <row r="121" spans="1:6" ht="15.75" customHeight="1" x14ac:dyDescent="0.3">
      <c r="A121" s="7" t="s">
        <v>1080</v>
      </c>
      <c r="B121" s="7" t="s">
        <v>1093</v>
      </c>
      <c r="C121" s="7" t="s">
        <v>1094</v>
      </c>
      <c r="D121" s="7"/>
      <c r="E121" s="7" t="s">
        <v>793</v>
      </c>
      <c r="F121" s="7" t="s">
        <v>1050</v>
      </c>
    </row>
    <row r="122" spans="1:6" ht="15.75" customHeight="1" x14ac:dyDescent="0.3">
      <c r="A122" s="6"/>
      <c r="B122" s="6"/>
      <c r="C122" s="6"/>
      <c r="D122" s="6"/>
      <c r="E122" s="6"/>
      <c r="F122" s="6"/>
    </row>
    <row r="123" spans="1:6" ht="15.75" customHeight="1" x14ac:dyDescent="0.3">
      <c r="A123" s="15" t="s">
        <v>1095</v>
      </c>
      <c r="B123" s="15"/>
      <c r="C123" s="15"/>
      <c r="D123" s="15"/>
      <c r="E123" s="15"/>
      <c r="F123" s="15"/>
    </row>
    <row r="124" spans="1:6" ht="15.75" customHeight="1" x14ac:dyDescent="0.3">
      <c r="A124" s="6" t="s">
        <v>1096</v>
      </c>
      <c r="B124" s="6" t="s">
        <v>1097</v>
      </c>
      <c r="C124" s="6" t="s">
        <v>1098</v>
      </c>
      <c r="D124" s="6"/>
      <c r="E124" s="6" t="s">
        <v>841</v>
      </c>
      <c r="F124" s="6" t="s">
        <v>841</v>
      </c>
    </row>
    <row r="125" spans="1:6" ht="15.75" customHeight="1" x14ac:dyDescent="0.3">
      <c r="A125" s="7" t="s">
        <v>1096</v>
      </c>
      <c r="B125" s="7" t="s">
        <v>1099</v>
      </c>
      <c r="C125" s="7" t="s">
        <v>1100</v>
      </c>
      <c r="D125" s="7"/>
      <c r="E125" s="7" t="s">
        <v>1101</v>
      </c>
      <c r="F125" s="7" t="s">
        <v>841</v>
      </c>
    </row>
    <row r="126" spans="1:6" ht="15.75" customHeight="1" x14ac:dyDescent="0.3">
      <c r="A126" s="6" t="s">
        <v>1096</v>
      </c>
      <c r="B126" s="6" t="s">
        <v>1102</v>
      </c>
      <c r="C126" s="6" t="s">
        <v>1103</v>
      </c>
      <c r="D126" s="6" t="s">
        <v>975</v>
      </c>
      <c r="E126" s="6" t="s">
        <v>1101</v>
      </c>
      <c r="F126" s="6" t="s">
        <v>841</v>
      </c>
    </row>
    <row r="127" spans="1:6" ht="15.75" customHeight="1" x14ac:dyDescent="0.3">
      <c r="A127" s="7" t="s">
        <v>1096</v>
      </c>
      <c r="B127" s="7" t="s">
        <v>1104</v>
      </c>
      <c r="C127" s="7" t="s">
        <v>1105</v>
      </c>
      <c r="D127" s="7" t="s">
        <v>975</v>
      </c>
      <c r="E127" s="7" t="s">
        <v>1101</v>
      </c>
      <c r="F127" s="7" t="s">
        <v>841</v>
      </c>
    </row>
    <row r="128" spans="1:6" ht="15.75" customHeight="1" x14ac:dyDescent="0.3">
      <c r="A128" s="6" t="s">
        <v>1096</v>
      </c>
      <c r="B128" s="6" t="s">
        <v>1106</v>
      </c>
      <c r="C128" s="6" t="s">
        <v>1107</v>
      </c>
      <c r="D128" s="6"/>
      <c r="E128" s="6" t="s">
        <v>1108</v>
      </c>
      <c r="F128" s="6" t="s">
        <v>1109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10" ma:contentTypeDescription="Crear nuevo documento." ma:contentTypeScope="" ma:versionID="2546235542583e8b2ff2cc2f7947903c">
  <xsd:schema xmlns:xsd="http://www.w3.org/2001/XMLSchema" xmlns:xs="http://www.w3.org/2001/XMLSchema" xmlns:p="http://schemas.microsoft.com/office/2006/metadata/properties" xmlns:ns2="ee5d6ee9-6b90-4973-875c-30ee5d95ff57" xmlns:ns3="a2e62541-ed63-42e0-be49-5b4b52f4e389" targetNamespace="http://schemas.microsoft.com/office/2006/metadata/properties" ma:root="true" ma:fieldsID="9a1af3dc47ff3566ad41f62fd65c9ee6" ns2:_="" ns3:_="">
    <xsd:import namespace="ee5d6ee9-6b90-4973-875c-30ee5d95ff57"/>
    <xsd:import namespace="a2e62541-ed63-42e0-be49-5b4b52f4e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62541-ed63-42e0-be49-5b4b52f4e3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af6c7-7496-4516-911a-634272e88661}" ma:internalName="TaxCatchAll" ma:showField="CatchAllData" ma:web="a2e62541-ed63-42e0-be49-5b4b52f4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d6ee9-6b90-4973-875c-30ee5d95ff57">
      <Terms xmlns="http://schemas.microsoft.com/office/infopath/2007/PartnerControls"/>
    </lcf76f155ced4ddcb4097134ff3c332f>
    <TaxCatchAll xmlns="a2e62541-ed63-42e0-be49-5b4b52f4e389" xsi:nil="true"/>
  </documentManagement>
</p:properties>
</file>

<file path=customXml/itemProps1.xml><?xml version="1.0" encoding="utf-8"?>
<ds:datastoreItem xmlns:ds="http://schemas.openxmlformats.org/officeDocument/2006/customXml" ds:itemID="{801EC905-67F0-4E47-BB13-E2D47A328882}"/>
</file>

<file path=customXml/itemProps2.xml><?xml version="1.0" encoding="utf-8"?>
<ds:datastoreItem xmlns:ds="http://schemas.openxmlformats.org/officeDocument/2006/customXml" ds:itemID="{8A2B64BE-733C-4918-8CB8-093ABD2DD2C4}"/>
</file>

<file path=customXml/itemProps3.xml><?xml version="1.0" encoding="utf-8"?>
<ds:datastoreItem xmlns:ds="http://schemas.openxmlformats.org/officeDocument/2006/customXml" ds:itemID="{9C183DA8-BC34-4A1F-81D4-E5058420C34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Existing Generation</vt:lpstr>
      <vt:lpstr>Generation Summary</vt:lpstr>
      <vt:lpstr>Existing Interconnections</vt:lpstr>
      <vt:lpstr>Planned Interconnections</vt:lpstr>
      <vt:lpstr>Existing Transmission</vt:lpstr>
      <vt:lpstr>Planned Transmission</vt:lpstr>
      <vt:lpstr>Planned Generation</vt:lpstr>
      <vt:lpstr>Additional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revision>0</cp:revision>
  <dcterms:created xsi:type="dcterms:W3CDTF">2026-02-20T16:30:16Z</dcterms:created>
  <dcterms:modified xsi:type="dcterms:W3CDTF">2026-02-26T22:06:36Z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  <property fmtid="{D5CDD505-2E9C-101B-9397-08002B2CF9AE}" pid="3" name="MediaServiceImageTags">
    <vt:lpwstr/>
  </property>
</Properties>
</file>