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Power_Systems_South_Asia_2026/Documentos compartidos/02_Data/Data Inventory/energy/"/>
    </mc:Choice>
  </mc:AlternateContent>
  <xr:revisionPtr revIDLastSave="0" documentId="11_FC63B1A41AAA9BB80258B5B832821EC8CE2C934F" xr6:coauthVersionLast="47" xr6:coauthVersionMax="47" xr10:uidLastSave="{00000000-0000-0000-0000-000000000000}"/>
  <bookViews>
    <workbookView minimized="1" xWindow="-75060" yWindow="-2040" windowWidth="28800" windowHeight="15150" tabRatio="500" activeTab="2" xr2:uid="{00000000-000D-0000-FFFF-FFFF00000000}"/>
  </bookViews>
  <sheets>
    <sheet name="Capacity Factors" sheetId="1" r:id="rId1"/>
    <sheet name="Demand Forecasts" sheetId="2" r:id="rId2"/>
    <sheet name="Historical Production" sheetId="3" r:id="rId3"/>
    <sheet name="Seasonalit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1" i="4" l="1"/>
  <c r="L81" i="4"/>
  <c r="K81" i="4"/>
  <c r="J81" i="4"/>
  <c r="I81" i="4"/>
  <c r="H81" i="4"/>
  <c r="G81" i="4"/>
  <c r="F81" i="4"/>
  <c r="E81" i="4"/>
  <c r="D81" i="4"/>
  <c r="C81" i="4"/>
  <c r="B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81" i="4" s="1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41" i="4" s="1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</calcChain>
</file>

<file path=xl/sharedStrings.xml><?xml version="1.0" encoding="utf-8"?>
<sst xmlns="http://schemas.openxmlformats.org/spreadsheetml/2006/main" count="344" uniqueCount="201">
  <si>
    <t>MALDIVES — CAPACITY FACTORS</t>
  </si>
  <si>
    <t>Source: IRENA Energy Profile – Maldives (updated 22 Sep 2025), reference year 2023</t>
  </si>
  <si>
    <t>Technology</t>
  </si>
  <si>
    <t>Capacity Factor (%)</t>
  </si>
  <si>
    <t>Notes</t>
  </si>
  <si>
    <t>Source</t>
  </si>
  <si>
    <t>Fossil Fuels (Diesel)</t>
  </si>
  <si>
    <t>All islands; diesel dominates generation</t>
  </si>
  <si>
    <t>IRENA 2023</t>
  </si>
  <si>
    <t>Solar PV</t>
  </si>
  <si>
    <t>Grid-connected; annual avg ~1,200 kWh/m²/yr irradiation</t>
  </si>
  <si>
    <t>Wind</t>
  </si>
  <si>
    <t>Limited deployment</t>
  </si>
  <si>
    <t>Bioenergy</t>
  </si>
  <si>
    <t>Waste-to-Energy (WTE) plants</t>
  </si>
  <si>
    <t>MALDIVES — DEMAND FORECASTS</t>
  </si>
  <si>
    <t>Source: MCCEE Energy Road Map 2024-2033 (ADB, Nov 2024)</t>
  </si>
  <si>
    <t>A. NATIONAL ELECTRICITY CONSUMPTION</t>
  </si>
  <si>
    <t>Metric</t>
  </si>
  <si>
    <t>Value</t>
  </si>
  <si>
    <t>Historical consumption 2023</t>
  </si>
  <si>
    <t>~1,284 GWh</t>
  </si>
  <si>
    <t>Total national (IRENA 2023)</t>
  </si>
  <si>
    <t>Growth rate assumption</t>
  </si>
  <si>
    <t>~5% per year</t>
  </si>
  <si>
    <t>Road Map base case</t>
  </si>
  <si>
    <t>2028 projection – Total</t>
  </si>
  <si>
    <t>~2,400 GWh</t>
  </si>
  <si>
    <t>Road Map target year</t>
  </si>
  <si>
    <t>2028 projection – Renewable share</t>
  </si>
  <si>
    <t>800 GWh (33%)</t>
  </si>
  <si>
    <t>33% RE target announced at COP28 Dec 2023</t>
  </si>
  <si>
    <t>National RE target</t>
  </si>
  <si>
    <t>33% by end-2028</t>
  </si>
  <si>
    <t>Government commitment</t>
  </si>
  <si>
    <t>B. PEAK DEMAND BY SEGMENT (MW)</t>
  </si>
  <si>
    <t>Segment</t>
  </si>
  <si>
    <t>2023 Peak (MW)</t>
  </si>
  <si>
    <t>2028 Forecast (MW)</t>
  </si>
  <si>
    <t>Growth Rate</t>
  </si>
  <si>
    <t>Greater Malé</t>
  </si>
  <si>
    <t>~7.9%/yr</t>
  </si>
  <si>
    <t>9.6% growth in 2024</t>
  </si>
  <si>
    <t>Road Map</t>
  </si>
  <si>
    <t>Other Inhabited Islands</t>
  </si>
  <si>
    <t>~9%/yr</t>
  </si>
  <si>
    <t>~157 islands served by Fenaka</t>
  </si>
  <si>
    <t>Resort Islands</t>
  </si>
  <si>
    <t>~2%/yr</t>
  </si>
  <si>
    <t>Slower growth; mostly diesel</t>
  </si>
  <si>
    <t>TOTAL</t>
  </si>
  <si>
    <t>~4-5%/yr</t>
  </si>
  <si>
    <t>Approximate sum</t>
  </si>
  <si>
    <t>C. DIESEL FUEL FOR ELECTRICITY GENERATION</t>
  </si>
  <si>
    <t>Year</t>
  </si>
  <si>
    <t>Diesel (000 tons)</t>
  </si>
  <si>
    <t>Actual estimate – Road Map</t>
  </si>
  <si>
    <t>Projected if 33% RE target met – Road Map</t>
  </si>
  <si>
    <t>MALDIVES — HISTORICAL ELECTRICITY PRODUCTION / UTILISATION</t>
  </si>
  <si>
    <t>Sources: IRENA Energy Profile (2025); STELCO Statistical Yearbook Tables 12.1 &amp; 12.2 (2024)</t>
  </si>
  <si>
    <t>A. NATIONAL GENERATION (GWh) — IRENA</t>
  </si>
  <si>
    <t>Total (GWh)</t>
  </si>
  <si>
    <t>Non-Renewable (GWh)</t>
  </si>
  <si>
    <t>Renewable (GWh)</t>
  </si>
  <si>
    <t>RE Share (%)</t>
  </si>
  <si>
    <t>Solar: 83 GWh | Wind: 2 GWh</t>
  </si>
  <si>
    <t>B. MALE' ELECTRICITY UTILISATION BY SECTOR (000 kWh) — STELCO Table 12.1</t>
  </si>
  <si>
    <t>Total</t>
  </si>
  <si>
    <t>Residential</t>
  </si>
  <si>
    <t>Manuf. &amp; Commercial</t>
  </si>
  <si>
    <t>Government Buildings</t>
  </si>
  <si>
    <t>Public Places &amp; Schools</t>
  </si>
  <si>
    <t>% Residential</t>
  </si>
  <si>
    <t>% Manuf. &amp; Comm.</t>
  </si>
  <si>
    <t>MALDIVES — SEASONALITY (Monthly Data, 2024)</t>
  </si>
  <si>
    <t>Source: STELCO Statistical Yearbook Table 12.2 (Monthly Electricity Production) &amp; Table 12.3 (Monthly Fuel Consumption), 2024</t>
  </si>
  <si>
    <t>A. MONTHLY ELECTRICITY PRODUCTION BY LOCALITY — PUBLIC SECTOR (000 kWh) — Table 12.2</t>
  </si>
  <si>
    <t>Locality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</si>
  <si>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</si>
  <si>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</si>
  <si>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</si>
  <si>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</si>
  <si>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</si>
  <si>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</si>
  <si>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</si>
  <si>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</si>
  <si>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</si>
  <si>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</si>
  <si>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</si>
  <si>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</si>
  <si>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</si>
  <si>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K.Male'</t>
  </si>
  <si>
    <t>K.Vilimale'</t>
  </si>
  <si>
    <t>K.Hulhumale'</t>
  </si>
  <si>
    <t>K.Thilafushi</t>
  </si>
  <si>
    <t>K.Gulhifalhu</t>
  </si>
  <si>
    <t>K.Kaashidhoo</t>
  </si>
  <si>
    <t>K.Gaafaru</t>
  </si>
  <si>
    <t>K.Dhiffushi</t>
  </si>
  <si>
    <t>K.Thulusdhoo</t>
  </si>
  <si>
    <t>K.Himmafushi</t>
  </si>
  <si>
    <t>K.Gulhi</t>
  </si>
  <si>
    <t>K.Maafushi</t>
  </si>
  <si>
    <t>K.Guraidhoo</t>
  </si>
  <si>
    <t>AA.Ukulhas</t>
  </si>
  <si>
    <t>Alif Alif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</si>
  <si>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</si>
  <si>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</si>
  <si>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</si>
  <si>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</si>
  <si>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</si>
  <si>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</si>
  <si>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</si>
  <si>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</si>
  <si>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Alif Dhaal</t>
  </si>
  <si>
    <t>ADh.Kunburudhoo</t>
  </si>
  <si>
    <t>ADh.Dhigurah</t>
  </si>
  <si>
    <t>ADh.Fenfushi</t>
  </si>
  <si>
    <t>ADh.Mahibadhoo</t>
  </si>
  <si>
    <t>ADh.Hangnameedhoo</t>
  </si>
  <si>
    <t>ADh.Dhihdhoo</t>
  </si>
  <si>
    <t>ADh.Mandhoo</t>
  </si>
  <si>
    <t>ADh.Dhangethi</t>
  </si>
  <si>
    <t>V.Felidhoo</t>
  </si>
  <si>
    <t>Vaavu</t>
  </si>
  <si>
    <t>V.Fulidhoo</t>
  </si>
  <si>
    <t>V.Thinadhoo</t>
  </si>
  <si>
    <t>V.Keyodhoo</t>
  </si>
  <si>
    <t>V.Rakeedhoo</t>
  </si>
  <si>
    <t>TOTAL ALL LOCALITIES</t>
  </si>
  <si>
    <t>B. MONTHLY FUEL CONSUMPTION FOR ELECTRICITY GENERATION BY LOCALITY — PUBLIC SECTOR (000 litres) — Table 12.3</t>
  </si>
  <si>
    <t>C. MALDIVES CLIMATE SEASONALITY — MALE' (LONG-TERM AVERAGES)</t>
  </si>
  <si>
    <t>Sources: (1) GHI — Solargis/World Bank Global Solar Atlas, Maldives validated model (1999–2017 long-term avg, Male' 4.175°N 73.509°E). (2) Temperature, Rainfall, Sunshine hours — CRU/Met Office/KNMI long-term climatology for Male'. (3) Monsoon classification — WMO / MCCEE Energy Road Map 2024-2033.</t>
  </si>
  <si>
    <t>Legend:</t>
  </si>
  <si>
    <t>NE Monsoon / Dry season (Nov–Apr)</t>
  </si>
  <si>
    <t>SW Monsoon / Wet season (May–Oct)</t>
  </si>
  <si>
    <t>Transition months</t>
  </si>
  <si>
    <t>Parameter</t>
  </si>
  <si>
    <t>Annual</t>
  </si>
  <si>
    <t>Units</t>
  </si>
  <si>
    <t>GHI — Global Horizontal Irradiation</t>
  </si>
  <si>
    <t>kWh/m²/day</t>
  </si>
  <si>
    <t>↳ Solargis long-term avg (1999–2017). Annual total ~1,932 kWh/m²/yr. Peak in Feb–Apr (NE monsoon / clear skies); trough Jun–Jul (SW monsoon cloud cover).</t>
  </si>
  <si>
    <t>Temperature — Mean</t>
  </si>
  <si>
    <t>°C</t>
  </si>
  <si>
    <t>↳ Near-constant equatorial temperature year-round. Peak Mar–May (pre-SW monsoon). Minimal seasonal range (~1.3°C) means cooling demand is relatively stable.</t>
  </si>
  <si>
    <t>Rainfall — Monthly total</t>
  </si>
  <si>
    <t>mm/month (annual: mm/yr)</t>
  </si>
  <si>
    <t>↳ Wet season May–Oct (SW monsoon): &gt;190 mm/month typical. Driest months Feb–Mar. Rainfall reduces solar output due to cloud cover.</t>
  </si>
  <si>
    <t>Sunshine hours — Daily average</t>
  </si>
  <si>
    <t>hrs/day</t>
  </si>
  <si>
    <t>↳ Directly correlated with GHI. Peak Feb–Mar (NE monsoon). SW monsoon (Jun–Jul) lowest sunshine (~6.2 hrs/day), reducing PV output ~25% vs peak.</t>
  </si>
  <si>
    <t>Relative Humidity — Mean</t>
  </si>
  <si>
    <t>%</t>
  </si>
  <si>
    <t>↳ High humidity year-round; slightly lower in NE monsoon. High humidity increases AC demand and slightly reduces PV panel efficiency.</t>
  </si>
  <si>
    <t>Wind Speed — Mean at 10m</t>
  </si>
  <si>
    <t>m/s</t>
  </si>
  <si>
    <t>↳ SW monsoon (May–Aug) brings strongest winds from southwest (~5–6 m/s). NE monsoon winds moderate (~3–4 m/s). Annual avg too low for utility wind; some small-scale wind installed on outer islands.</t>
  </si>
  <si>
    <t>D. MONSOON SEASON SUMMARY — ENERGY RELEVANCE</t>
  </si>
  <si>
    <t>Season</t>
  </si>
  <si>
    <t>Months</t>
  </si>
  <si>
    <t>Direction</t>
  </si>
  <si>
    <t>Key Characteristics</t>
  </si>
  <si>
    <t>Solar Impact</t>
  </si>
  <si>
    <t>Wind Impact</t>
  </si>
  <si>
    <t>NE Monsoon
(Dry Season)</t>
  </si>
  <si>
    <t>Nov – Apr</t>
  </si>
  <si>
    <t>Northeast</t>
  </si>
  <si>
    <t>Clear skies, low rainfall (&lt;120 mm/month), lower humidity. Driest Feb–Mar.</t>
  </si>
  <si>
    <t>BEST solar resource. GHI peaks Feb–Apr (~5.8–6.2 kWh/m²/day). PV output ~20–25% higher than SW monsoon months.</t>
  </si>
  <si>
    <t>Moderate NE winds (~3–4 m/s). Below wind turbine optimal range.</t>
  </si>
  <si>
    <t>SW Monsoon
(Wet Season)</t>
  </si>
  <si>
    <t>May – Oct</t>
  </si>
  <si>
    <t>Southwest</t>
  </si>
  <si>
    <t>Heavy rainfall (&gt;190 mm/month May–Oct), high cloud cover, high humidity. Peak rain Sep (~237 mm).</t>
  </si>
  <si>
    <t>REDUCED solar. GHI drops to ~4.9–5.1 kWh/m²/day. Increased cloud cover reduces PV output. Diesel backup more critical during this period.</t>
  </si>
  <si>
    <t>Strongest winds (~5–6 m/s Jun–Jul). Best months for small wind generation.</t>
  </si>
  <si>
    <t>Inter-monsoon
(Transition)</t>
  </si>
  <si>
    <t>Apr–May, Oct–Nov</t>
  </si>
  <si>
    <t>Variable</t>
  </si>
  <si>
    <t>Transitional periods. Unpredictable weather. Short intense rain squalls possible.</t>
  </si>
  <si>
    <t>Variable GHI. Planning buffer needed for storage/backup.</t>
  </si>
  <si>
    <t>Variable winds.</t>
  </si>
  <si>
    <t>E. IMPLICATIONS FOR ENERGY MODELING</t>
  </si>
  <si>
    <t>Aspect</t>
  </si>
  <si>
    <t>NE Monsoon (Nov–Apr)</t>
  </si>
  <si>
    <t>Solar PV capacity factor</t>
  </si>
  <si>
    <t>Higher — apply ~20% uplift vs annual avg in energy models (peak ~Feb–Apr)</t>
  </si>
  <si>
    <t>Lower — apply ~15% discount vs annual avg (trough ~Jun–Jul)</t>
  </si>
  <si>
    <t>Diesel generation requirement</t>
  </si>
  <si>
    <t>Lower diesel dispatch possible if storage available</t>
  </si>
  <si>
    <t>Higher diesel dispatch required to compensate reduced solar</t>
  </si>
  <si>
    <t>Cooling / AC demand</t>
  </si>
  <si>
    <t>Moderate — temps ~28°C, slightly lower humidity</t>
  </si>
  <si>
    <t>High — temps ~28–29°C with high humidity (82–83%), increases cooling load</t>
  </si>
  <si>
    <t>Tourism demand</t>
  </si>
  <si>
    <t>Peak tourist season (Dec–Apr) → higher resort island demand</t>
  </si>
  <si>
    <t>Lower tourist season → lower resort island demand</t>
  </si>
  <si>
    <t>Battery storage sizing</t>
  </si>
  <si>
    <t>Longer solar hours; batteries can cycle more efficiently</t>
  </si>
  <si>
    <t>Shorter effective solar window; storage more critical for evening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</si>
</sst>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00000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i/>
      <sz val="8"/>
      <color rgb="FF00000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8"/>
      <color rgb="FF40404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AC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FFACD"/>
        <b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9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9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/>
    <xf numFmtId="3" fontId="4" fillId="5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7" fillId="0" borderId="1" xfId="0" applyFont="1" applyBorder="1"/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165" fontId="4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/>
    <xf numFmtId="165" fontId="4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/>
    <xf numFmtId="165" fontId="8" fillId="4" borderId="1" xfId="0" applyNumberFormat="1" applyFont="1" applyFill="1" applyBorder="1"/>
    <xf numFmtId="0" fontId="10" fillId="5" borderId="0" xfId="0" applyFont="1" applyFill="1"/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166" fontId="13" fillId="8" borderId="1" xfId="0" applyNumberFormat="1" applyFont="1" applyFill="1" applyBorder="1" applyAlignment="1">
      <alignment horizontal="center" vertical="center" wrapText="1"/>
    </xf>
    <xf numFmtId="166" fontId="13" fillId="9" borderId="1" xfId="0" applyNumberFormat="1" applyFont="1" applyFill="1" applyBorder="1" applyAlignment="1">
      <alignment horizontal="center" vertical="center" wrapText="1"/>
    </xf>
    <xf numFmtId="166" fontId="12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0" fillId="0" borderId="0" xfId="0"/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8"/>
  <sheetViews>
    <sheetView zoomScaleNormal="100" workbookViewId="0">
      <pane ySplit="4" topLeftCell="A5" activePane="bottomLeft" state="frozen"/>
      <selection pane="bottomLeft" sqref="A1:D1"/>
    </sheetView>
  </sheetViews>
  <sheetFormatPr defaultColWidth="8.6328125" defaultRowHeight="14.5" x14ac:dyDescent="0.35"/>
  <cols>
    <col min="1" max="1" width="28" customWidth="1"/>
    <col min="2" max="2" width="22" customWidth="1"/>
    <col min="3" max="3" width="52" customWidth="1"/>
    <col min="4" max="4" width="30" customWidth="1"/>
  </cols>
  <sheetData>
    <row r="1" spans="1:4" ht="15.75" customHeight="1" x14ac:dyDescent="0.35">
      <c r="A1" s="14" t="s">
        <v>0</v>
      </c>
      <c r="B1" s="14"/>
      <c r="C1" s="14"/>
      <c r="D1" s="14"/>
    </row>
    <row r="2" spans="1:4" ht="15" customHeight="1" x14ac:dyDescent="0.35">
      <c r="A2" s="13" t="s">
        <v>1</v>
      </c>
      <c r="B2" s="13"/>
      <c r="C2" s="13"/>
      <c r="D2" s="13"/>
    </row>
    <row r="4" spans="1:4" ht="15" customHeight="1" x14ac:dyDescent="0.35">
      <c r="A4" s="15" t="s">
        <v>2</v>
      </c>
      <c r="B4" s="15" t="s">
        <v>3</v>
      </c>
      <c r="C4" s="15" t="s">
        <v>4</v>
      </c>
      <c r="D4" s="15" t="s">
        <v>5</v>
      </c>
    </row>
    <row r="5" spans="1:4" ht="15" customHeight="1" x14ac:dyDescent="0.35">
      <c r="A5" s="16" t="s">
        <v>6</v>
      </c>
      <c r="B5" s="17">
        <v>0.26</v>
      </c>
      <c r="C5" s="16" t="s">
        <v>7</v>
      </c>
      <c r="D5" s="16" t="s">
        <v>8</v>
      </c>
    </row>
    <row r="6" spans="1:4" ht="15" customHeight="1" x14ac:dyDescent="0.35">
      <c r="A6" s="18" t="s">
        <v>9</v>
      </c>
      <c r="B6" s="19">
        <v>0.18</v>
      </c>
      <c r="C6" s="18" t="s">
        <v>10</v>
      </c>
      <c r="D6" s="18" t="s">
        <v>8</v>
      </c>
    </row>
    <row r="7" spans="1:4" ht="15" customHeight="1" x14ac:dyDescent="0.35">
      <c r="A7" s="16" t="s">
        <v>11</v>
      </c>
      <c r="B7" s="17">
        <v>0.2</v>
      </c>
      <c r="C7" s="16" t="s">
        <v>12</v>
      </c>
      <c r="D7" s="16" t="s">
        <v>8</v>
      </c>
    </row>
    <row r="8" spans="1:4" ht="15" customHeight="1" x14ac:dyDescent="0.35">
      <c r="A8" s="18" t="s">
        <v>13</v>
      </c>
      <c r="B8" s="19">
        <v>0.01</v>
      </c>
      <c r="C8" s="18" t="s">
        <v>14</v>
      </c>
      <c r="D8" s="18" t="s">
        <v>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25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2" customWidth="1"/>
    <col min="2" max="3" width="22" customWidth="1"/>
    <col min="4" max="4" width="16" customWidth="1"/>
    <col min="5" max="5" width="40" customWidth="1"/>
    <col min="6" max="6" width="14" customWidth="1"/>
  </cols>
  <sheetData>
    <row r="1" spans="1:6" ht="15.75" customHeight="1" x14ac:dyDescent="0.35">
      <c r="A1" s="14" t="s">
        <v>15</v>
      </c>
      <c r="B1" s="14"/>
      <c r="C1" s="14"/>
      <c r="D1" s="14"/>
      <c r="E1" s="14"/>
      <c r="F1" s="14"/>
    </row>
    <row r="2" spans="1:6" ht="15" customHeight="1" x14ac:dyDescent="0.35">
      <c r="A2" s="13" t="s">
        <v>16</v>
      </c>
      <c r="B2" s="13"/>
      <c r="C2" s="13"/>
      <c r="D2" s="13"/>
      <c r="E2" s="13"/>
      <c r="F2" s="13"/>
    </row>
    <row r="4" spans="1:6" ht="15" customHeight="1" x14ac:dyDescent="0.35">
      <c r="A4" s="12" t="s">
        <v>17</v>
      </c>
      <c r="B4" s="12"/>
      <c r="C4" s="12"/>
      <c r="D4" s="12"/>
      <c r="E4" s="12"/>
      <c r="F4" s="12"/>
    </row>
    <row r="5" spans="1:6" ht="15" customHeight="1" x14ac:dyDescent="0.35">
      <c r="A5" s="20" t="s">
        <v>18</v>
      </c>
      <c r="B5" s="20" t="s">
        <v>19</v>
      </c>
      <c r="C5" s="11" t="s">
        <v>4</v>
      </c>
      <c r="D5" s="11"/>
      <c r="E5" s="11"/>
      <c r="F5" s="11"/>
    </row>
    <row r="6" spans="1:6" ht="15" customHeight="1" x14ac:dyDescent="0.35">
      <c r="A6" s="16" t="s">
        <v>20</v>
      </c>
      <c r="B6" s="21" t="s">
        <v>21</v>
      </c>
      <c r="C6" s="10" t="s">
        <v>22</v>
      </c>
      <c r="D6" s="10"/>
      <c r="E6" s="10"/>
      <c r="F6" s="10"/>
    </row>
    <row r="7" spans="1:6" ht="15" customHeight="1" x14ac:dyDescent="0.35">
      <c r="A7" s="18" t="s">
        <v>23</v>
      </c>
      <c r="B7" s="22" t="s">
        <v>24</v>
      </c>
      <c r="C7" s="9" t="s">
        <v>25</v>
      </c>
      <c r="D7" s="9"/>
      <c r="E7" s="9"/>
      <c r="F7" s="9"/>
    </row>
    <row r="8" spans="1:6" ht="15" customHeight="1" x14ac:dyDescent="0.35">
      <c r="A8" s="16" t="s">
        <v>26</v>
      </c>
      <c r="B8" s="21" t="s">
        <v>27</v>
      </c>
      <c r="C8" s="10" t="s">
        <v>28</v>
      </c>
      <c r="D8" s="10"/>
      <c r="E8" s="10"/>
      <c r="F8" s="10"/>
    </row>
    <row r="9" spans="1:6" ht="15" customHeight="1" x14ac:dyDescent="0.35">
      <c r="A9" s="18" t="s">
        <v>29</v>
      </c>
      <c r="B9" s="22" t="s">
        <v>30</v>
      </c>
      <c r="C9" s="9" t="s">
        <v>31</v>
      </c>
      <c r="D9" s="9"/>
      <c r="E9" s="9"/>
      <c r="F9" s="9"/>
    </row>
    <row r="10" spans="1:6" ht="15" customHeight="1" x14ac:dyDescent="0.35">
      <c r="A10" s="16" t="s">
        <v>32</v>
      </c>
      <c r="B10" s="21" t="s">
        <v>33</v>
      </c>
      <c r="C10" s="10" t="s">
        <v>34</v>
      </c>
      <c r="D10" s="10"/>
      <c r="E10" s="10"/>
      <c r="F10" s="10"/>
    </row>
    <row r="11" spans="1:6" ht="15" customHeight="1" x14ac:dyDescent="0.35">
      <c r="A11" s="23"/>
      <c r="B11" s="23"/>
      <c r="C11" s="23"/>
      <c r="D11" s="23"/>
      <c r="E11" s="23"/>
      <c r="F11" s="23"/>
    </row>
    <row r="12" spans="1:6" ht="15" customHeight="1" x14ac:dyDescent="0.35">
      <c r="A12" s="23"/>
      <c r="B12" s="23"/>
      <c r="C12" s="23"/>
      <c r="D12" s="23"/>
      <c r="E12" s="23"/>
      <c r="F12" s="23"/>
    </row>
    <row r="13" spans="1:6" ht="15" customHeight="1" x14ac:dyDescent="0.35">
      <c r="A13" s="12" t="s">
        <v>35</v>
      </c>
      <c r="B13" s="12"/>
      <c r="C13" s="12"/>
      <c r="D13" s="12"/>
      <c r="E13" s="12"/>
      <c r="F13" s="12"/>
    </row>
    <row r="14" spans="1:6" ht="15" customHeight="1" x14ac:dyDescent="0.35">
      <c r="A14" s="20" t="s">
        <v>36</v>
      </c>
      <c r="B14" s="20" t="s">
        <v>37</v>
      </c>
      <c r="C14" s="20" t="s">
        <v>38</v>
      </c>
      <c r="D14" s="20" t="s">
        <v>39</v>
      </c>
      <c r="E14" s="20" t="s">
        <v>4</v>
      </c>
      <c r="F14" s="20" t="s">
        <v>5</v>
      </c>
    </row>
    <row r="15" spans="1:6" ht="15" customHeight="1" x14ac:dyDescent="0.35">
      <c r="A15" s="16" t="s">
        <v>40</v>
      </c>
      <c r="B15" s="24">
        <v>108</v>
      </c>
      <c r="C15" s="24">
        <v>150</v>
      </c>
      <c r="D15" s="21" t="s">
        <v>41</v>
      </c>
      <c r="E15" s="16" t="s">
        <v>42</v>
      </c>
      <c r="F15" s="16" t="s">
        <v>43</v>
      </c>
    </row>
    <row r="16" spans="1:6" ht="15" customHeight="1" x14ac:dyDescent="0.35">
      <c r="A16" s="18" t="s">
        <v>44</v>
      </c>
      <c r="B16" s="25">
        <v>70</v>
      </c>
      <c r="C16" s="25">
        <v>100</v>
      </c>
      <c r="D16" s="22" t="s">
        <v>45</v>
      </c>
      <c r="E16" s="18" t="s">
        <v>46</v>
      </c>
      <c r="F16" s="18" t="s">
        <v>43</v>
      </c>
    </row>
    <row r="17" spans="1:6" ht="15" customHeight="1" x14ac:dyDescent="0.35">
      <c r="A17" s="16" t="s">
        <v>47</v>
      </c>
      <c r="B17" s="24">
        <v>160</v>
      </c>
      <c r="C17" s="24">
        <v>170</v>
      </c>
      <c r="D17" s="21" t="s">
        <v>48</v>
      </c>
      <c r="E17" s="16" t="s">
        <v>49</v>
      </c>
      <c r="F17" s="16" t="s">
        <v>43</v>
      </c>
    </row>
    <row r="18" spans="1:6" ht="15" customHeight="1" x14ac:dyDescent="0.35">
      <c r="A18" s="26" t="s">
        <v>50</v>
      </c>
      <c r="B18" s="25">
        <v>338</v>
      </c>
      <c r="C18" s="25">
        <v>420</v>
      </c>
      <c r="D18" s="22" t="s">
        <v>51</v>
      </c>
      <c r="E18" s="18" t="s">
        <v>52</v>
      </c>
      <c r="F18" s="18" t="s">
        <v>43</v>
      </c>
    </row>
    <row r="19" spans="1:6" ht="15" customHeight="1" x14ac:dyDescent="0.35">
      <c r="A19" s="23"/>
      <c r="B19" s="23"/>
      <c r="C19" s="23"/>
      <c r="D19" s="23"/>
      <c r="E19" s="23"/>
      <c r="F19" s="23"/>
    </row>
    <row r="20" spans="1:6" ht="15" customHeight="1" x14ac:dyDescent="0.35">
      <c r="A20" s="23"/>
      <c r="B20" s="23"/>
      <c r="C20" s="23"/>
      <c r="D20" s="23"/>
      <c r="E20" s="23"/>
      <c r="F20" s="23"/>
    </row>
    <row r="21" spans="1:6" ht="15" customHeight="1" x14ac:dyDescent="0.35">
      <c r="A21" s="12" t="s">
        <v>53</v>
      </c>
      <c r="B21" s="12"/>
      <c r="C21" s="12"/>
      <c r="D21" s="12"/>
      <c r="E21" s="12"/>
      <c r="F21" s="12"/>
    </row>
    <row r="22" spans="1:6" ht="15" customHeight="1" x14ac:dyDescent="0.35">
      <c r="A22" s="20" t="s">
        <v>54</v>
      </c>
      <c r="B22" s="20" t="s">
        <v>55</v>
      </c>
      <c r="C22" s="11" t="s">
        <v>4</v>
      </c>
      <c r="D22" s="11"/>
      <c r="E22" s="11"/>
      <c r="F22" s="11"/>
    </row>
    <row r="23" spans="1:6" ht="15" customHeight="1" x14ac:dyDescent="0.35">
      <c r="A23" s="27">
        <v>2023</v>
      </c>
      <c r="B23" s="24">
        <v>390</v>
      </c>
      <c r="C23" s="10" t="s">
        <v>56</v>
      </c>
      <c r="D23" s="10"/>
      <c r="E23" s="10"/>
      <c r="F23" s="10"/>
    </row>
    <row r="24" spans="1:6" ht="15" customHeight="1" x14ac:dyDescent="0.35">
      <c r="A24" s="28">
        <v>2028</v>
      </c>
      <c r="B24" s="25">
        <v>330</v>
      </c>
      <c r="C24" s="9" t="s">
        <v>57</v>
      </c>
      <c r="D24" s="9"/>
      <c r="E24" s="9"/>
      <c r="F24" s="9"/>
    </row>
    <row r="25" spans="1:6" ht="15" customHeight="1" x14ac:dyDescent="0.35">
      <c r="A25" s="23"/>
      <c r="B25" s="23"/>
      <c r="C25" s="23"/>
      <c r="D25" s="23"/>
      <c r="E25" s="23"/>
      <c r="F25" s="23"/>
    </row>
  </sheetData>
  <mergeCells count="14">
    <mergeCell ref="A21:F21"/>
    <mergeCell ref="C22:F22"/>
    <mergeCell ref="C23:F23"/>
    <mergeCell ref="C24:F24"/>
    <mergeCell ref="C7:F7"/>
    <mergeCell ref="C8:F8"/>
    <mergeCell ref="C9:F9"/>
    <mergeCell ref="C10:F10"/>
    <mergeCell ref="A13:F13"/>
    <mergeCell ref="A1:F1"/>
    <mergeCell ref="A2:F2"/>
    <mergeCell ref="A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H31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22" sqref="I21:I22"/>
    </sheetView>
  </sheetViews>
  <sheetFormatPr defaultColWidth="8.6328125" defaultRowHeight="14.5" x14ac:dyDescent="0.35"/>
  <cols>
    <col min="1" max="1" width="8" customWidth="1"/>
    <col min="2" max="3" width="14" customWidth="1"/>
    <col min="4" max="4" width="24" customWidth="1"/>
    <col min="5" max="5" width="22" customWidth="1"/>
    <col min="6" max="6" width="24" customWidth="1"/>
    <col min="7" max="7" width="14" customWidth="1"/>
    <col min="8" max="8" width="16" customWidth="1"/>
  </cols>
  <sheetData>
    <row r="1" spans="1:8" ht="15.75" customHeight="1" x14ac:dyDescent="0.35">
      <c r="A1" s="14" t="s">
        <v>58</v>
      </c>
      <c r="B1" s="14"/>
      <c r="C1" s="14"/>
      <c r="D1" s="14"/>
      <c r="E1" s="14"/>
      <c r="F1" s="14"/>
      <c r="G1" s="14"/>
      <c r="H1" s="14"/>
    </row>
    <row r="2" spans="1:8" ht="15" customHeight="1" x14ac:dyDescent="0.35">
      <c r="A2" s="13" t="s">
        <v>59</v>
      </c>
      <c r="B2" s="13"/>
      <c r="C2" s="13"/>
      <c r="D2" s="13"/>
      <c r="E2" s="13"/>
      <c r="F2" s="13"/>
      <c r="G2" s="13"/>
      <c r="H2" s="13"/>
    </row>
    <row r="4" spans="1:8" ht="15" customHeight="1" x14ac:dyDescent="0.35">
      <c r="A4" s="12" t="s">
        <v>60</v>
      </c>
      <c r="B4" s="12"/>
      <c r="C4" s="12"/>
      <c r="D4" s="12"/>
      <c r="E4" s="12"/>
      <c r="F4" s="12"/>
      <c r="G4" s="12"/>
      <c r="H4" s="12"/>
    </row>
    <row r="5" spans="1:8" ht="15" customHeight="1" x14ac:dyDescent="0.35">
      <c r="A5" s="20" t="s">
        <v>54</v>
      </c>
      <c r="B5" s="20" t="s">
        <v>61</v>
      </c>
      <c r="C5" s="20" t="s">
        <v>62</v>
      </c>
      <c r="D5" s="20" t="s">
        <v>63</v>
      </c>
      <c r="E5" s="20" t="s">
        <v>64</v>
      </c>
      <c r="F5" s="23"/>
      <c r="G5" s="23"/>
      <c r="H5" s="23"/>
    </row>
    <row r="6" spans="1:8" ht="15" customHeight="1" x14ac:dyDescent="0.35">
      <c r="A6" s="27">
        <v>2018</v>
      </c>
      <c r="B6" s="24">
        <v>702</v>
      </c>
      <c r="C6" s="24"/>
      <c r="D6" s="24"/>
      <c r="E6" s="29"/>
      <c r="F6" s="23"/>
      <c r="G6" s="23"/>
      <c r="H6" s="23"/>
    </row>
    <row r="7" spans="1:8" ht="15" customHeight="1" x14ac:dyDescent="0.35">
      <c r="A7" s="28">
        <v>2019</v>
      </c>
      <c r="B7" s="25">
        <v>756</v>
      </c>
      <c r="C7" s="25"/>
      <c r="D7" s="25"/>
      <c r="E7" s="30"/>
      <c r="F7" s="23"/>
      <c r="G7" s="23"/>
      <c r="H7" s="23"/>
    </row>
    <row r="8" spans="1:8" ht="15" customHeight="1" x14ac:dyDescent="0.35">
      <c r="A8" s="27">
        <v>2020</v>
      </c>
      <c r="B8" s="24">
        <v>762</v>
      </c>
      <c r="C8" s="24"/>
      <c r="D8" s="24"/>
      <c r="E8" s="29"/>
      <c r="F8" s="23"/>
      <c r="G8" s="23"/>
      <c r="H8" s="23"/>
    </row>
    <row r="9" spans="1:8" ht="15" customHeight="1" x14ac:dyDescent="0.35">
      <c r="A9" s="28">
        <v>2021</v>
      </c>
      <c r="B9" s="25">
        <v>1200</v>
      </c>
      <c r="C9" s="25"/>
      <c r="D9" s="25"/>
      <c r="E9" s="30"/>
      <c r="F9" s="23"/>
      <c r="G9" s="23"/>
      <c r="H9" s="23"/>
    </row>
    <row r="10" spans="1:8" ht="15" customHeight="1" x14ac:dyDescent="0.35">
      <c r="A10" s="27">
        <v>2022</v>
      </c>
      <c r="B10" s="24">
        <v>1177</v>
      </c>
      <c r="C10" s="24"/>
      <c r="D10" s="24"/>
      <c r="E10" s="29"/>
      <c r="F10" s="23"/>
      <c r="G10" s="23"/>
      <c r="H10" s="23"/>
    </row>
    <row r="11" spans="1:8" ht="15" customHeight="1" x14ac:dyDescent="0.35">
      <c r="A11" s="28">
        <v>2023</v>
      </c>
      <c r="B11" s="25">
        <v>1284</v>
      </c>
      <c r="C11" s="25">
        <v>1199</v>
      </c>
      <c r="D11" s="25">
        <v>85</v>
      </c>
      <c r="E11" s="30">
        <v>6.6000000000000003E-2</v>
      </c>
      <c r="F11" s="31" t="s">
        <v>65</v>
      </c>
      <c r="G11" s="23"/>
      <c r="H11" s="23"/>
    </row>
    <row r="12" spans="1:8" ht="15" customHeight="1" x14ac:dyDescent="0.35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5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5">
      <c r="A14" s="12" t="s">
        <v>66</v>
      </c>
      <c r="B14" s="12"/>
      <c r="C14" s="12"/>
      <c r="D14" s="12"/>
      <c r="E14" s="12"/>
      <c r="F14" s="12"/>
      <c r="G14" s="12"/>
      <c r="H14" s="12"/>
    </row>
    <row r="15" spans="1:8" ht="15" customHeight="1" x14ac:dyDescent="0.35">
      <c r="A15" s="20" t="s">
        <v>54</v>
      </c>
      <c r="B15" s="20" t="s">
        <v>67</v>
      </c>
      <c r="C15" s="20" t="s">
        <v>68</v>
      </c>
      <c r="D15" s="20" t="s">
        <v>69</v>
      </c>
      <c r="E15" s="20" t="s">
        <v>70</v>
      </c>
      <c r="F15" s="20" t="s">
        <v>71</v>
      </c>
      <c r="G15" s="20" t="s">
        <v>72</v>
      </c>
      <c r="H15" s="20" t="s">
        <v>73</v>
      </c>
    </row>
    <row r="16" spans="1:8" ht="15" customHeight="1" x14ac:dyDescent="0.35">
      <c r="A16" s="27">
        <v>2010</v>
      </c>
      <c r="B16" s="24">
        <v>195723</v>
      </c>
      <c r="C16" s="24">
        <v>95039</v>
      </c>
      <c r="D16" s="24">
        <v>71403</v>
      </c>
      <c r="E16" s="24">
        <v>25530</v>
      </c>
      <c r="F16" s="24">
        <v>3751</v>
      </c>
      <c r="G16" s="32">
        <f t="shared" ref="G16:G30" si="0">C16/B16</f>
        <v>0.4855791092513399</v>
      </c>
      <c r="H16" s="32">
        <f t="shared" ref="H16:H30" si="1">D16/B16</f>
        <v>0.36481660305636027</v>
      </c>
    </row>
    <row r="17" spans="1:8" ht="15" customHeight="1" x14ac:dyDescent="0.35">
      <c r="A17" s="28">
        <v>2011</v>
      </c>
      <c r="B17" s="25">
        <v>211889</v>
      </c>
      <c r="C17" s="25">
        <v>103656</v>
      </c>
      <c r="D17" s="25">
        <v>77814</v>
      </c>
      <c r="E17" s="25">
        <v>26612</v>
      </c>
      <c r="F17" s="25">
        <v>3807</v>
      </c>
      <c r="G17" s="33">
        <f t="shared" si="0"/>
        <v>0.48919953371812602</v>
      </c>
      <c r="H17" s="33">
        <f t="shared" si="1"/>
        <v>0.36723945084454596</v>
      </c>
    </row>
    <row r="18" spans="1:8" ht="15" customHeight="1" x14ac:dyDescent="0.35">
      <c r="A18" s="27">
        <v>2012</v>
      </c>
      <c r="B18" s="24">
        <v>219663</v>
      </c>
      <c r="C18" s="24">
        <v>111364</v>
      </c>
      <c r="D18" s="24">
        <v>79364</v>
      </c>
      <c r="E18" s="24">
        <v>25668</v>
      </c>
      <c r="F18" s="24">
        <v>3268</v>
      </c>
      <c r="G18" s="32">
        <f t="shared" si="0"/>
        <v>0.50697659596745925</v>
      </c>
      <c r="H18" s="32">
        <f t="shared" si="1"/>
        <v>0.36129889876765775</v>
      </c>
    </row>
    <row r="19" spans="1:8" ht="15" customHeight="1" x14ac:dyDescent="0.35">
      <c r="A19" s="28">
        <v>2013</v>
      </c>
      <c r="B19" s="25">
        <v>232023</v>
      </c>
      <c r="C19" s="25">
        <v>119971</v>
      </c>
      <c r="D19" s="25">
        <v>82566</v>
      </c>
      <c r="E19" s="25">
        <v>26272</v>
      </c>
      <c r="F19" s="25">
        <v>3215</v>
      </c>
      <c r="G19" s="33">
        <f t="shared" si="0"/>
        <v>0.51706511854428228</v>
      </c>
      <c r="H19" s="33">
        <f t="shared" si="1"/>
        <v>0.35585265253875692</v>
      </c>
    </row>
    <row r="20" spans="1:8" ht="15" customHeight="1" x14ac:dyDescent="0.35">
      <c r="A20" s="27">
        <v>2014</v>
      </c>
      <c r="B20" s="24">
        <v>239067</v>
      </c>
      <c r="C20" s="24">
        <v>123902</v>
      </c>
      <c r="D20" s="24">
        <v>85616</v>
      </c>
      <c r="E20" s="24">
        <v>26534</v>
      </c>
      <c r="F20" s="24">
        <v>3015</v>
      </c>
      <c r="G20" s="32">
        <f t="shared" si="0"/>
        <v>0.51827312008767412</v>
      </c>
      <c r="H20" s="32">
        <f t="shared" si="1"/>
        <v>0.35812554639494365</v>
      </c>
    </row>
    <row r="21" spans="1:8" ht="15" customHeight="1" x14ac:dyDescent="0.35">
      <c r="A21" s="28">
        <v>2015</v>
      </c>
      <c r="B21" s="25">
        <v>260445</v>
      </c>
      <c r="C21" s="25">
        <v>137096</v>
      </c>
      <c r="D21" s="25">
        <v>91504</v>
      </c>
      <c r="E21" s="25">
        <v>28590</v>
      </c>
      <c r="F21" s="25">
        <v>3256</v>
      </c>
      <c r="G21" s="33">
        <f t="shared" si="0"/>
        <v>0.52639136861909419</v>
      </c>
      <c r="H21" s="33">
        <f t="shared" si="1"/>
        <v>0.35133713451976423</v>
      </c>
    </row>
    <row r="22" spans="1:8" ht="15" customHeight="1" x14ac:dyDescent="0.35">
      <c r="A22" s="27">
        <v>2016</v>
      </c>
      <c r="B22" s="24">
        <v>271814</v>
      </c>
      <c r="C22" s="24">
        <v>137727</v>
      </c>
      <c r="D22" s="24">
        <v>100920</v>
      </c>
      <c r="E22" s="24">
        <v>30685</v>
      </c>
      <c r="F22" s="24">
        <v>2481</v>
      </c>
      <c r="G22" s="32">
        <f t="shared" si="0"/>
        <v>0.50669575518553123</v>
      </c>
      <c r="H22" s="32">
        <f t="shared" si="1"/>
        <v>0.37128330402407528</v>
      </c>
    </row>
    <row r="23" spans="1:8" ht="15" customHeight="1" x14ac:dyDescent="0.35">
      <c r="A23" s="28">
        <v>2017</v>
      </c>
      <c r="B23" s="25">
        <v>304527</v>
      </c>
      <c r="C23" s="25">
        <v>158916</v>
      </c>
      <c r="D23" s="25">
        <v>104097</v>
      </c>
      <c r="E23" s="25">
        <v>31177</v>
      </c>
      <c r="F23" s="25">
        <v>10338</v>
      </c>
      <c r="G23" s="33">
        <f t="shared" si="0"/>
        <v>0.52184535361396522</v>
      </c>
      <c r="H23" s="33">
        <f t="shared" si="1"/>
        <v>0.34183175876030697</v>
      </c>
    </row>
    <row r="24" spans="1:8" ht="15" customHeight="1" x14ac:dyDescent="0.35">
      <c r="A24" s="27">
        <v>2018</v>
      </c>
      <c r="B24" s="24">
        <v>318851</v>
      </c>
      <c r="C24" s="24">
        <v>166586</v>
      </c>
      <c r="D24" s="24">
        <v>109946</v>
      </c>
      <c r="E24" s="24">
        <v>29469</v>
      </c>
      <c r="F24" s="24">
        <v>12850</v>
      </c>
      <c r="G24" s="32">
        <f t="shared" si="0"/>
        <v>0.52245719787612399</v>
      </c>
      <c r="H24" s="32">
        <f t="shared" si="1"/>
        <v>0.34481936703977722</v>
      </c>
    </row>
    <row r="25" spans="1:8" ht="15" customHeight="1" x14ac:dyDescent="0.35">
      <c r="A25" s="28">
        <v>2019</v>
      </c>
      <c r="B25" s="25">
        <v>356354</v>
      </c>
      <c r="C25" s="25">
        <v>189660</v>
      </c>
      <c r="D25" s="25">
        <v>118500</v>
      </c>
      <c r="E25" s="25">
        <v>32819</v>
      </c>
      <c r="F25" s="25">
        <v>15375</v>
      </c>
      <c r="G25" s="33">
        <f t="shared" si="0"/>
        <v>0.53222357543341736</v>
      </c>
      <c r="H25" s="33">
        <f t="shared" si="1"/>
        <v>0.33253450220847808</v>
      </c>
    </row>
    <row r="26" spans="1:8" ht="15" customHeight="1" x14ac:dyDescent="0.35">
      <c r="A26" s="27">
        <v>2020</v>
      </c>
      <c r="B26" s="24">
        <v>349092</v>
      </c>
      <c r="C26" s="24">
        <v>202005</v>
      </c>
      <c r="D26" s="24">
        <v>100990</v>
      </c>
      <c r="E26" s="24">
        <v>29747</v>
      </c>
      <c r="F26" s="24">
        <v>16350</v>
      </c>
      <c r="G26" s="32">
        <f t="shared" si="0"/>
        <v>0.57865834794266269</v>
      </c>
      <c r="H26" s="32">
        <f t="shared" si="1"/>
        <v>0.28929336679156209</v>
      </c>
    </row>
    <row r="27" spans="1:8" ht="15" customHeight="1" x14ac:dyDescent="0.35">
      <c r="A27" s="28">
        <v>2021</v>
      </c>
      <c r="B27" s="25">
        <v>355496</v>
      </c>
      <c r="C27" s="25">
        <v>201693</v>
      </c>
      <c r="D27" s="25">
        <v>105736</v>
      </c>
      <c r="E27" s="25">
        <v>31329</v>
      </c>
      <c r="F27" s="25">
        <v>16738</v>
      </c>
      <c r="G27" s="33">
        <f t="shared" si="0"/>
        <v>0.56735659472961719</v>
      </c>
      <c r="H27" s="33">
        <f t="shared" si="1"/>
        <v>0.29743231991358554</v>
      </c>
    </row>
    <row r="28" spans="1:8" ht="15" customHeight="1" x14ac:dyDescent="0.35">
      <c r="A28" s="27">
        <v>2022</v>
      </c>
      <c r="B28" s="24">
        <v>384809</v>
      </c>
      <c r="C28" s="24">
        <v>204596</v>
      </c>
      <c r="D28" s="24">
        <v>123295</v>
      </c>
      <c r="E28" s="24">
        <v>39469</v>
      </c>
      <c r="F28" s="24">
        <v>17448</v>
      </c>
      <c r="G28" s="32">
        <f t="shared" si="0"/>
        <v>0.53168195130571272</v>
      </c>
      <c r="H28" s="32">
        <f t="shared" si="1"/>
        <v>0.32040570776671023</v>
      </c>
    </row>
    <row r="29" spans="1:8" ht="15" customHeight="1" x14ac:dyDescent="0.35">
      <c r="A29" s="28">
        <v>2023</v>
      </c>
      <c r="B29" s="25">
        <v>391864</v>
      </c>
      <c r="C29" s="25">
        <v>213007</v>
      </c>
      <c r="D29" s="25">
        <v>127342</v>
      </c>
      <c r="E29" s="25">
        <v>36135</v>
      </c>
      <c r="F29" s="25">
        <v>15380</v>
      </c>
      <c r="G29" s="33">
        <f t="shared" si="0"/>
        <v>0.54357379090704938</v>
      </c>
      <c r="H29" s="33">
        <f t="shared" si="1"/>
        <v>0.3249647837004675</v>
      </c>
    </row>
    <row r="30" spans="1:8" ht="15" customHeight="1" x14ac:dyDescent="0.35">
      <c r="A30" s="27">
        <v>2024</v>
      </c>
      <c r="B30" s="24">
        <v>407035</v>
      </c>
      <c r="C30" s="24">
        <v>235710</v>
      </c>
      <c r="D30" s="24">
        <v>130094</v>
      </c>
      <c r="E30" s="24">
        <v>41231</v>
      </c>
      <c r="F30" s="24">
        <v>15264</v>
      </c>
      <c r="G30" s="32">
        <f t="shared" si="0"/>
        <v>0.57909025022418215</v>
      </c>
      <c r="H30" s="32">
        <f t="shared" si="1"/>
        <v>0.31961379242571275</v>
      </c>
    </row>
    <row r="31" spans="1:8" ht="15" customHeight="1" x14ac:dyDescent="0.35">
      <c r="A31" s="23"/>
      <c r="B31" s="23"/>
      <c r="C31" s="23"/>
      <c r="D31" s="23"/>
      <c r="E31" s="23"/>
      <c r="F31" s="23"/>
      <c r="G31" s="23"/>
      <c r="H31" s="23"/>
    </row>
  </sheetData>
  <mergeCells count="4">
    <mergeCell ref="A1:H1"/>
    <mergeCell ref="A2:H2"/>
    <mergeCell ref="A4:H4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O114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O1"/>
    </sheetView>
  </sheetViews>
  <sheetFormatPr defaultColWidth="8.6328125" defaultRowHeight="14.5" x14ac:dyDescent="0.35"/>
  <cols>
    <col min="1" max="1" width="24" customWidth="1"/>
    <col min="2" max="13" width="10" customWidth="1"/>
    <col min="14" max="14" width="12" customWidth="1"/>
    <col min="15" max="15" width="14" customWidth="1"/>
  </cols>
  <sheetData>
    <row r="1" spans="1:15" ht="15.75" customHeight="1" x14ac:dyDescent="0.35">
      <c r="A1" s="14" t="s">
        <v>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" customHeight="1" x14ac:dyDescent="0.35">
      <c r="A2" s="13" t="s">
        <v>75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ht="15" customHeight="1" x14ac:dyDescent="0.35">
      <c r="A4" s="12" t="s">
        <v>76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5" customHeight="1" x14ac:dyDescent="0.35">
      <c r="A5" s="20" t="s">
        <v>77</v>
      </c>
      <c r="B5" s="20" t="s">
        <v>78</v>
      </c>
      <c r="C5" s="20" t="s">
        <v>79</v>
      </c>
      <c r="D5" s="20" t="s">
        <v>80</v>
      </c>
      <c r="E5" s="20" t="s">
        <v>81</v>
      </c>
      <c r="F5" s="20" t="s">
        <v>82</v>
      </c>
      <c r="G5" s="20" t="s">
        <v>83</v>
      </c>
      <c r="H5" s="20" t="s">
        <v>84</v>
      </c>
      <c r="I5" s="20" t="s">
        <v>85</v>
      </c>
      <c r="J5" s="20" t="s">
        <v>86</v>
      </c>
      <c r="K5" s="20" t="s">
        <v>87</v>
      </c>
      <c r="L5" s="20" t="s">
        <v>88</v>
      </c>
      <c r="M5" s="20" t="s">
        <v>89</v>
      </c>
      <c r="N5" s="20" t="s">
        <v>67</v>
      </c>
      <c r="O5" s="20" t="s">
        <v>90</v>
      </c>
    </row>
    <row r="6" spans="1:15" ht="15" customHeight="1" x14ac:dyDescent="0.35">
      <c r="A6" s="16" t="s">
        <v>91</v>
      </c>
      <c r="B6" s="34">
        <v>23921.99</v>
      </c>
      <c r="C6" s="34">
        <v>26605.15</v>
      </c>
      <c r="D6" s="34">
        <v>30624.69</v>
      </c>
      <c r="E6" s="34">
        <v>30543.68</v>
      </c>
      <c r="F6" s="34">
        <v>29987.84</v>
      </c>
      <c r="G6" s="34">
        <v>30590.51</v>
      </c>
      <c r="H6" s="34">
        <v>29922.14</v>
      </c>
      <c r="I6" s="34">
        <v>27601.54</v>
      </c>
      <c r="J6" s="34">
        <v>29119.41</v>
      </c>
      <c r="K6" s="34">
        <v>28494.98</v>
      </c>
      <c r="L6" s="34">
        <v>28678.34</v>
      </c>
      <c r="M6" s="34">
        <v>29371.279999999999</v>
      </c>
      <c r="N6" s="35">
        <f t="shared" ref="N6:N40" si="0">SUM(B6:M6)</f>
        <v>345461.55000000005</v>
      </c>
      <c r="O6" s="16" t="s">
        <v>40</v>
      </c>
    </row>
    <row r="7" spans="1:15" ht="15" customHeight="1" x14ac:dyDescent="0.35">
      <c r="A7" s="18" t="s">
        <v>92</v>
      </c>
      <c r="B7" s="36">
        <v>1233.67</v>
      </c>
      <c r="C7" s="36">
        <v>1233.79</v>
      </c>
      <c r="D7" s="36">
        <v>2097.0700000000002</v>
      </c>
      <c r="E7" s="36">
        <v>1186.55</v>
      </c>
      <c r="F7" s="36">
        <v>1396.47</v>
      </c>
      <c r="G7" s="36">
        <v>1400.78</v>
      </c>
      <c r="H7" s="36">
        <v>1462.7</v>
      </c>
      <c r="I7" s="36">
        <v>1294.6600000000001</v>
      </c>
      <c r="J7" s="36">
        <v>1296.28</v>
      </c>
      <c r="K7" s="36">
        <v>1341.06</v>
      </c>
      <c r="L7" s="36">
        <v>1263.74</v>
      </c>
      <c r="M7" s="36">
        <v>1265.95</v>
      </c>
      <c r="N7" s="37">
        <f t="shared" si="0"/>
        <v>16472.72</v>
      </c>
      <c r="O7" s="18" t="s">
        <v>40</v>
      </c>
    </row>
    <row r="8" spans="1:15" ht="15" customHeight="1" x14ac:dyDescent="0.35">
      <c r="A8" s="16" t="s">
        <v>93</v>
      </c>
      <c r="B8" s="34">
        <v>31728.83</v>
      </c>
      <c r="C8" s="34">
        <v>30305.61</v>
      </c>
      <c r="D8" s="34">
        <v>34112.25</v>
      </c>
      <c r="E8" s="34">
        <v>34457.17</v>
      </c>
      <c r="F8" s="34">
        <v>34921.089999999997</v>
      </c>
      <c r="G8" s="34">
        <v>32841.68</v>
      </c>
      <c r="H8" s="34">
        <v>36807.74</v>
      </c>
      <c r="I8" s="34">
        <v>31757.96</v>
      </c>
      <c r="J8" s="34">
        <v>27670.05</v>
      </c>
      <c r="K8" s="34">
        <v>33591.589999999997</v>
      </c>
      <c r="L8" s="34">
        <v>29717.48</v>
      </c>
      <c r="M8" s="34">
        <v>28153.01</v>
      </c>
      <c r="N8" s="35">
        <f t="shared" si="0"/>
        <v>386064.45999999996</v>
      </c>
      <c r="O8" s="16" t="s">
        <v>40</v>
      </c>
    </row>
    <row r="9" spans="1:15" ht="15" customHeight="1" x14ac:dyDescent="0.35">
      <c r="A9" s="18" t="s">
        <v>94</v>
      </c>
      <c r="B9" s="36">
        <v>671.68</v>
      </c>
      <c r="C9" s="36">
        <v>680.35</v>
      </c>
      <c r="D9" s="36">
        <v>780.2</v>
      </c>
      <c r="E9" s="36">
        <v>756.09</v>
      </c>
      <c r="F9" s="36">
        <v>758.49</v>
      </c>
      <c r="G9" s="36">
        <v>756.01</v>
      </c>
      <c r="H9" s="36">
        <v>793.91</v>
      </c>
      <c r="I9" s="36">
        <v>711.94</v>
      </c>
      <c r="J9" s="36">
        <v>722.26</v>
      </c>
      <c r="K9" s="36">
        <v>750.33</v>
      </c>
      <c r="L9" s="36">
        <v>720</v>
      </c>
      <c r="M9" s="36">
        <v>747.25</v>
      </c>
      <c r="N9" s="37">
        <f t="shared" si="0"/>
        <v>8848.51</v>
      </c>
      <c r="O9" s="18" t="s">
        <v>40</v>
      </c>
    </row>
    <row r="10" spans="1:15" ht="15" customHeight="1" x14ac:dyDescent="0.35">
      <c r="A10" s="16" t="s">
        <v>95</v>
      </c>
      <c r="B10" s="34">
        <v>128.34</v>
      </c>
      <c r="C10" s="34">
        <v>128.38</v>
      </c>
      <c r="D10" s="34">
        <v>138.97</v>
      </c>
      <c r="E10" s="34">
        <v>137.52000000000001</v>
      </c>
      <c r="F10" s="34">
        <v>141.5</v>
      </c>
      <c r="G10" s="34">
        <v>136.63999999999999</v>
      </c>
      <c r="H10" s="34">
        <v>143.13999999999999</v>
      </c>
      <c r="I10" s="34">
        <v>128.52000000000001</v>
      </c>
      <c r="J10" s="34">
        <v>129.87</v>
      </c>
      <c r="K10" s="34">
        <v>133.74</v>
      </c>
      <c r="L10" s="34">
        <v>130.54</v>
      </c>
      <c r="M10" s="34">
        <v>137.82</v>
      </c>
      <c r="N10" s="35">
        <f t="shared" si="0"/>
        <v>1614.98</v>
      </c>
      <c r="O10" s="16" t="s">
        <v>40</v>
      </c>
    </row>
    <row r="11" spans="1:15" ht="15" customHeight="1" x14ac:dyDescent="0.35">
      <c r="A11" s="18" t="s">
        <v>96</v>
      </c>
      <c r="B11" s="36">
        <v>392.4</v>
      </c>
      <c r="C11" s="36">
        <v>392.57</v>
      </c>
      <c r="D11" s="36">
        <v>511.23</v>
      </c>
      <c r="E11" s="36">
        <v>532.91999999999996</v>
      </c>
      <c r="F11" s="36">
        <v>451.53</v>
      </c>
      <c r="G11" s="36">
        <v>481.01</v>
      </c>
      <c r="H11" s="36">
        <v>461.59</v>
      </c>
      <c r="I11" s="36">
        <v>414.17</v>
      </c>
      <c r="J11" s="36">
        <v>433.19</v>
      </c>
      <c r="K11" s="36">
        <v>429.03</v>
      </c>
      <c r="L11" s="36">
        <v>413.14</v>
      </c>
      <c r="M11" s="36">
        <v>403.85</v>
      </c>
      <c r="N11" s="37">
        <f t="shared" si="0"/>
        <v>5316.630000000001</v>
      </c>
      <c r="O11" s="18" t="s">
        <v>40</v>
      </c>
    </row>
    <row r="12" spans="1:15" ht="15" customHeight="1" x14ac:dyDescent="0.35">
      <c r="A12" s="16" t="s">
        <v>97</v>
      </c>
      <c r="B12" s="34">
        <v>232.01</v>
      </c>
      <c r="C12" s="34">
        <v>250.18</v>
      </c>
      <c r="D12" s="34">
        <v>301.17</v>
      </c>
      <c r="E12" s="34">
        <v>312.33999999999997</v>
      </c>
      <c r="F12" s="34">
        <v>250.91</v>
      </c>
      <c r="G12" s="34">
        <v>274.73</v>
      </c>
      <c r="H12" s="34">
        <v>265.45999999999998</v>
      </c>
      <c r="I12" s="34">
        <v>234.69</v>
      </c>
      <c r="J12" s="34">
        <v>247.06</v>
      </c>
      <c r="K12" s="34">
        <v>250.34</v>
      </c>
      <c r="L12" s="34">
        <v>255.85</v>
      </c>
      <c r="M12" s="34">
        <v>251.93</v>
      </c>
      <c r="N12" s="35">
        <f t="shared" si="0"/>
        <v>3126.67</v>
      </c>
      <c r="O12" s="16" t="s">
        <v>40</v>
      </c>
    </row>
    <row r="13" spans="1:15" ht="15" customHeight="1" x14ac:dyDescent="0.35">
      <c r="A13" s="18" t="s">
        <v>98</v>
      </c>
      <c r="B13" s="36">
        <v>422.24</v>
      </c>
      <c r="C13" s="36">
        <v>431.29</v>
      </c>
      <c r="D13" s="36">
        <v>488.59</v>
      </c>
      <c r="E13" s="36">
        <v>486.86</v>
      </c>
      <c r="F13" s="36">
        <v>440.86</v>
      </c>
      <c r="G13" s="36">
        <v>452.24</v>
      </c>
      <c r="H13" s="36">
        <v>463.18</v>
      </c>
      <c r="I13" s="36">
        <v>409.01</v>
      </c>
      <c r="J13" s="36">
        <v>421.01</v>
      </c>
      <c r="K13" s="36">
        <v>433.59</v>
      </c>
      <c r="L13" s="36">
        <v>469.61</v>
      </c>
      <c r="M13" s="36">
        <v>479.8</v>
      </c>
      <c r="N13" s="37">
        <f t="shared" si="0"/>
        <v>5398.28</v>
      </c>
      <c r="O13" s="18" t="s">
        <v>40</v>
      </c>
    </row>
    <row r="14" spans="1:15" ht="15" customHeight="1" x14ac:dyDescent="0.35">
      <c r="A14" s="16" t="s">
        <v>99</v>
      </c>
      <c r="B14" s="34">
        <v>441.75</v>
      </c>
      <c r="C14" s="34">
        <v>467.96</v>
      </c>
      <c r="D14" s="34">
        <v>562.99</v>
      </c>
      <c r="E14" s="34">
        <v>580.57000000000005</v>
      </c>
      <c r="F14" s="34">
        <v>520.41999999999996</v>
      </c>
      <c r="G14" s="34">
        <v>530.54</v>
      </c>
      <c r="H14" s="34">
        <v>518.46</v>
      </c>
      <c r="I14" s="34">
        <v>481.47</v>
      </c>
      <c r="J14" s="34">
        <v>502.49</v>
      </c>
      <c r="K14" s="34">
        <v>499.23</v>
      </c>
      <c r="L14" s="34">
        <v>500.25</v>
      </c>
      <c r="M14" s="34">
        <v>508.46</v>
      </c>
      <c r="N14" s="35">
        <f t="shared" si="0"/>
        <v>6114.5899999999992</v>
      </c>
      <c r="O14" s="16" t="s">
        <v>40</v>
      </c>
    </row>
    <row r="15" spans="1:15" ht="15" customHeight="1" x14ac:dyDescent="0.35">
      <c r="A15" s="18" t="s">
        <v>100</v>
      </c>
      <c r="B15" s="36">
        <v>436.56</v>
      </c>
      <c r="C15" s="36">
        <v>450.35</v>
      </c>
      <c r="D15" s="36">
        <v>518.24</v>
      </c>
      <c r="E15" s="36">
        <v>540.72</v>
      </c>
      <c r="F15" s="36">
        <v>527.70000000000005</v>
      </c>
      <c r="G15" s="36">
        <v>549.63</v>
      </c>
      <c r="H15" s="36">
        <v>540.12</v>
      </c>
      <c r="I15" s="36">
        <v>463.54</v>
      </c>
      <c r="J15" s="36">
        <v>491.23</v>
      </c>
      <c r="K15" s="36">
        <v>513.77</v>
      </c>
      <c r="L15" s="36">
        <v>487.09</v>
      </c>
      <c r="M15" s="36">
        <v>476.67</v>
      </c>
      <c r="N15" s="37">
        <f t="shared" si="0"/>
        <v>5995.6200000000008</v>
      </c>
      <c r="O15" s="18" t="s">
        <v>40</v>
      </c>
    </row>
    <row r="16" spans="1:15" ht="15" customHeight="1" x14ac:dyDescent="0.35">
      <c r="A16" s="16" t="s">
        <v>101</v>
      </c>
      <c r="B16" s="34">
        <v>205.02</v>
      </c>
      <c r="C16" s="34">
        <v>205.84</v>
      </c>
      <c r="D16" s="34">
        <v>255.13</v>
      </c>
      <c r="E16" s="34">
        <v>257.66000000000003</v>
      </c>
      <c r="F16" s="34">
        <v>233.26</v>
      </c>
      <c r="G16" s="34">
        <v>240.27</v>
      </c>
      <c r="H16" s="34">
        <v>248.37</v>
      </c>
      <c r="I16" s="34">
        <v>223.87</v>
      </c>
      <c r="J16" s="34">
        <v>222.97</v>
      </c>
      <c r="K16" s="34">
        <v>235.04</v>
      </c>
      <c r="L16" s="34">
        <v>233.31</v>
      </c>
      <c r="M16" s="34">
        <v>248.95</v>
      </c>
      <c r="N16" s="35">
        <f t="shared" si="0"/>
        <v>2809.6899999999996</v>
      </c>
      <c r="O16" s="16" t="s">
        <v>40</v>
      </c>
    </row>
    <row r="17" spans="1:15" ht="15" customHeight="1" x14ac:dyDescent="0.35">
      <c r="A17" s="18" t="s">
        <v>102</v>
      </c>
      <c r="B17" s="36">
        <v>1399.53</v>
      </c>
      <c r="C17" s="36">
        <v>1406.43</v>
      </c>
      <c r="D17" s="36">
        <v>1647.25</v>
      </c>
      <c r="E17" s="36">
        <v>1629.45</v>
      </c>
      <c r="F17" s="36">
        <v>1548.96</v>
      </c>
      <c r="G17" s="36">
        <v>1559.19</v>
      </c>
      <c r="H17" s="36">
        <v>1661</v>
      </c>
      <c r="I17" s="36">
        <v>1517.2</v>
      </c>
      <c r="J17" s="36">
        <v>1511.5</v>
      </c>
      <c r="K17" s="36">
        <v>1536.22</v>
      </c>
      <c r="L17" s="36">
        <v>1473.45</v>
      </c>
      <c r="M17" s="36">
        <v>1586.03</v>
      </c>
      <c r="N17" s="37">
        <f t="shared" si="0"/>
        <v>18476.21</v>
      </c>
      <c r="O17" s="18" t="s">
        <v>40</v>
      </c>
    </row>
    <row r="18" spans="1:15" ht="15" customHeight="1" x14ac:dyDescent="0.35">
      <c r="A18" s="16" t="s">
        <v>103</v>
      </c>
      <c r="B18" s="34">
        <v>388.04</v>
      </c>
      <c r="C18" s="34">
        <v>389.04</v>
      </c>
      <c r="D18" s="34">
        <v>476.25</v>
      </c>
      <c r="E18" s="34">
        <v>475.14</v>
      </c>
      <c r="F18" s="34">
        <v>443.44</v>
      </c>
      <c r="G18" s="34">
        <v>456.86</v>
      </c>
      <c r="H18" s="34">
        <v>457.17</v>
      </c>
      <c r="I18" s="34">
        <v>419.61</v>
      </c>
      <c r="J18" s="34">
        <v>443.24</v>
      </c>
      <c r="K18" s="34">
        <v>444.6</v>
      </c>
      <c r="L18" s="34">
        <v>447.91</v>
      </c>
      <c r="M18" s="34">
        <v>465.83</v>
      </c>
      <c r="N18" s="35">
        <f t="shared" si="0"/>
        <v>5307.13</v>
      </c>
      <c r="O18" s="16" t="s">
        <v>40</v>
      </c>
    </row>
    <row r="19" spans="1:15" ht="15" customHeight="1" x14ac:dyDescent="0.35">
      <c r="A19" s="18" t="s">
        <v>104</v>
      </c>
      <c r="B19" s="36">
        <v>385.08</v>
      </c>
      <c r="C19" s="36">
        <v>409.61</v>
      </c>
      <c r="D19" s="36">
        <v>463.48</v>
      </c>
      <c r="E19" s="36">
        <v>433.24</v>
      </c>
      <c r="F19" s="36">
        <v>357.3</v>
      </c>
      <c r="G19" s="36">
        <v>366.05</v>
      </c>
      <c r="H19" s="36">
        <v>384.29</v>
      </c>
      <c r="I19" s="36">
        <v>344.97</v>
      </c>
      <c r="J19" s="36">
        <v>361.83</v>
      </c>
      <c r="K19" s="36">
        <v>363.99</v>
      </c>
      <c r="L19" s="36">
        <v>384.72</v>
      </c>
      <c r="M19" s="36">
        <v>400.53</v>
      </c>
      <c r="N19" s="37">
        <f t="shared" si="0"/>
        <v>4655.09</v>
      </c>
      <c r="O19" s="18" t="s">
        <v>105</v>
      </c>
    </row>
    <row r="20" spans="1:15" ht="15" customHeight="1" x14ac:dyDescent="0.35">
      <c r="A20" s="16" t="s">
        <v>106</v>
      </c>
      <c r="B20" s="34">
        <v>174.18</v>
      </c>
      <c r="C20" s="34">
        <v>182.8</v>
      </c>
      <c r="D20" s="34">
        <v>228.91</v>
      </c>
      <c r="E20" s="34">
        <v>224.02</v>
      </c>
      <c r="F20" s="34">
        <v>185.58</v>
      </c>
      <c r="G20" s="34">
        <v>219.05</v>
      </c>
      <c r="H20" s="34">
        <v>201.69</v>
      </c>
      <c r="I20" s="34">
        <v>181.4</v>
      </c>
      <c r="J20" s="34">
        <v>179.92</v>
      </c>
      <c r="K20" s="34">
        <v>178.71</v>
      </c>
      <c r="L20" s="34">
        <v>187.04</v>
      </c>
      <c r="M20" s="34">
        <v>199.94</v>
      </c>
      <c r="N20" s="35">
        <f t="shared" si="0"/>
        <v>2343.2400000000002</v>
      </c>
      <c r="O20" s="16" t="s">
        <v>105</v>
      </c>
    </row>
    <row r="21" spans="1:15" ht="15" customHeight="1" x14ac:dyDescent="0.35">
      <c r="A21" s="18" t="s">
        <v>107</v>
      </c>
      <c r="B21" s="36">
        <v>127.5</v>
      </c>
      <c r="C21" s="36">
        <v>133.26</v>
      </c>
      <c r="D21" s="36">
        <v>160.51</v>
      </c>
      <c r="E21" s="36">
        <v>163.71</v>
      </c>
      <c r="F21" s="36">
        <v>138.29</v>
      </c>
      <c r="G21" s="36">
        <v>157.1</v>
      </c>
      <c r="H21" s="36">
        <v>162.16</v>
      </c>
      <c r="I21" s="36">
        <v>137.83000000000001</v>
      </c>
      <c r="J21" s="36">
        <v>136.33000000000001</v>
      </c>
      <c r="K21" s="36">
        <v>139.49</v>
      </c>
      <c r="L21" s="36">
        <v>135.83000000000001</v>
      </c>
      <c r="M21" s="36">
        <v>142.58000000000001</v>
      </c>
      <c r="N21" s="37">
        <f t="shared" si="0"/>
        <v>1734.5899999999997</v>
      </c>
      <c r="O21" s="18" t="s">
        <v>105</v>
      </c>
    </row>
    <row r="22" spans="1:15" ht="15" customHeight="1" x14ac:dyDescent="0.35">
      <c r="A22" s="16" t="s">
        <v>108</v>
      </c>
      <c r="B22" s="34">
        <v>111.67</v>
      </c>
      <c r="C22" s="34">
        <v>118.39</v>
      </c>
      <c r="D22" s="34">
        <v>138.47999999999999</v>
      </c>
      <c r="E22" s="34">
        <v>142.38</v>
      </c>
      <c r="F22" s="34">
        <v>116.21</v>
      </c>
      <c r="G22" s="34">
        <v>125.63</v>
      </c>
      <c r="H22" s="34">
        <v>125.49</v>
      </c>
      <c r="I22" s="34">
        <v>112.36</v>
      </c>
      <c r="J22" s="34">
        <v>115.42</v>
      </c>
      <c r="K22" s="34">
        <v>118.7</v>
      </c>
      <c r="L22" s="34">
        <v>113.53</v>
      </c>
      <c r="M22" s="34">
        <v>122.04</v>
      </c>
      <c r="N22" s="35">
        <f t="shared" si="0"/>
        <v>1460.3</v>
      </c>
      <c r="O22" s="16" t="s">
        <v>105</v>
      </c>
    </row>
    <row r="23" spans="1:15" ht="15" customHeight="1" x14ac:dyDescent="0.35">
      <c r="A23" s="18" t="s">
        <v>109</v>
      </c>
      <c r="B23" s="36">
        <v>86.44</v>
      </c>
      <c r="C23" s="36">
        <v>88.7</v>
      </c>
      <c r="D23" s="36">
        <v>109.74</v>
      </c>
      <c r="E23" s="36">
        <v>114.05</v>
      </c>
      <c r="F23" s="36">
        <v>96.79</v>
      </c>
      <c r="G23" s="36">
        <v>109.47</v>
      </c>
      <c r="H23" s="36">
        <v>107.05</v>
      </c>
      <c r="I23" s="36">
        <v>90.25</v>
      </c>
      <c r="J23" s="36">
        <v>95.08</v>
      </c>
      <c r="K23" s="36">
        <v>100.33</v>
      </c>
      <c r="L23" s="36">
        <v>95.76</v>
      </c>
      <c r="M23" s="36">
        <v>105.3</v>
      </c>
      <c r="N23" s="37">
        <f t="shared" si="0"/>
        <v>1198.96</v>
      </c>
      <c r="O23" s="18" t="s">
        <v>105</v>
      </c>
    </row>
    <row r="24" spans="1:15" ht="15" customHeight="1" x14ac:dyDescent="0.35">
      <c r="A24" s="16" t="s">
        <v>110</v>
      </c>
      <c r="B24" s="34">
        <v>145.43</v>
      </c>
      <c r="C24" s="34">
        <v>158.1</v>
      </c>
      <c r="D24" s="34">
        <v>192.53</v>
      </c>
      <c r="E24" s="34">
        <v>197.5</v>
      </c>
      <c r="F24" s="34">
        <v>171.99</v>
      </c>
      <c r="G24" s="34">
        <v>172.23</v>
      </c>
      <c r="H24" s="34">
        <v>182.06</v>
      </c>
      <c r="I24" s="34">
        <v>150.41999999999999</v>
      </c>
      <c r="J24" s="34">
        <v>154.88</v>
      </c>
      <c r="K24" s="34">
        <v>155.38</v>
      </c>
      <c r="L24" s="34">
        <v>146.28</v>
      </c>
      <c r="M24" s="34">
        <v>156.83000000000001</v>
      </c>
      <c r="N24" s="35">
        <f t="shared" si="0"/>
        <v>1983.6299999999999</v>
      </c>
      <c r="O24" s="16" t="s">
        <v>105</v>
      </c>
    </row>
    <row r="25" spans="1:15" ht="15" customHeight="1" x14ac:dyDescent="0.35">
      <c r="A25" s="18" t="s">
        <v>111</v>
      </c>
      <c r="B25" s="36">
        <v>353.33</v>
      </c>
      <c r="C25" s="36">
        <v>384.79</v>
      </c>
      <c r="D25" s="36">
        <v>442.24</v>
      </c>
      <c r="E25" s="36">
        <v>438.48</v>
      </c>
      <c r="F25" s="36">
        <v>357.3</v>
      </c>
      <c r="G25" s="36">
        <v>373.41</v>
      </c>
      <c r="H25" s="36">
        <v>371.06</v>
      </c>
      <c r="I25" s="36">
        <v>345.5</v>
      </c>
      <c r="J25" s="36">
        <v>339.5</v>
      </c>
      <c r="K25" s="36">
        <v>362.78</v>
      </c>
      <c r="L25" s="36">
        <v>367.45</v>
      </c>
      <c r="M25" s="36">
        <v>374.28</v>
      </c>
      <c r="N25" s="37">
        <f t="shared" si="0"/>
        <v>4510.12</v>
      </c>
      <c r="O25" s="18" t="s">
        <v>105</v>
      </c>
    </row>
    <row r="26" spans="1:15" ht="15" customHeight="1" x14ac:dyDescent="0.35">
      <c r="A26" s="16" t="s">
        <v>112</v>
      </c>
      <c r="B26" s="34">
        <v>533.44000000000005</v>
      </c>
      <c r="C26" s="34">
        <v>572.16</v>
      </c>
      <c r="D26" s="34">
        <v>694.8</v>
      </c>
      <c r="E26" s="34">
        <v>599.48</v>
      </c>
      <c r="F26" s="34">
        <v>502.93</v>
      </c>
      <c r="G26" s="34">
        <v>524.07000000000005</v>
      </c>
      <c r="H26" s="34">
        <v>536.86</v>
      </c>
      <c r="I26" s="34">
        <v>472.39</v>
      </c>
      <c r="J26" s="34">
        <v>485.92</v>
      </c>
      <c r="K26" s="34">
        <v>535.73</v>
      </c>
      <c r="L26" s="34">
        <v>547.64</v>
      </c>
      <c r="M26" s="34">
        <v>594.82000000000005</v>
      </c>
      <c r="N26" s="35">
        <f t="shared" si="0"/>
        <v>6600.2400000000007</v>
      </c>
      <c r="O26" s="16" t="s">
        <v>105</v>
      </c>
    </row>
    <row r="27" spans="1:15" ht="15" customHeight="1" x14ac:dyDescent="0.35">
      <c r="A27" s="18" t="s">
        <v>113</v>
      </c>
      <c r="B27" s="36">
        <v>140.44</v>
      </c>
      <c r="C27" s="36">
        <v>146.55000000000001</v>
      </c>
      <c r="D27" s="36">
        <v>183.32</v>
      </c>
      <c r="E27" s="36">
        <v>192.77</v>
      </c>
      <c r="F27" s="36">
        <v>156.36000000000001</v>
      </c>
      <c r="G27" s="36">
        <v>158.96</v>
      </c>
      <c r="H27" s="36">
        <v>159.28</v>
      </c>
      <c r="I27" s="36">
        <v>144.37</v>
      </c>
      <c r="J27" s="36">
        <v>143.97999999999999</v>
      </c>
      <c r="K27" s="36">
        <v>147.97999999999999</v>
      </c>
      <c r="L27" s="36">
        <v>146.04</v>
      </c>
      <c r="M27" s="36">
        <v>147.13999999999999</v>
      </c>
      <c r="N27" s="37">
        <f t="shared" si="0"/>
        <v>1867.19</v>
      </c>
      <c r="O27" s="18" t="s">
        <v>114</v>
      </c>
    </row>
    <row r="28" spans="1:15" ht="15" customHeight="1" x14ac:dyDescent="0.35">
      <c r="A28" s="16" t="s">
        <v>115</v>
      </c>
      <c r="B28" s="34">
        <v>77.39</v>
      </c>
      <c r="C28" s="34">
        <v>78.41</v>
      </c>
      <c r="D28" s="34">
        <v>101.83</v>
      </c>
      <c r="E28" s="34">
        <v>103.2</v>
      </c>
      <c r="F28" s="34">
        <v>94.7</v>
      </c>
      <c r="G28" s="34">
        <v>99.37</v>
      </c>
      <c r="H28" s="34">
        <v>102.89</v>
      </c>
      <c r="I28" s="34">
        <v>89.07</v>
      </c>
      <c r="J28" s="34">
        <v>93.03</v>
      </c>
      <c r="K28" s="34">
        <v>94.81</v>
      </c>
      <c r="L28" s="34">
        <v>88.67</v>
      </c>
      <c r="M28" s="34">
        <v>91.88</v>
      </c>
      <c r="N28" s="35">
        <f t="shared" si="0"/>
        <v>1115.2499999999998</v>
      </c>
      <c r="O28" s="16" t="s">
        <v>114</v>
      </c>
    </row>
    <row r="29" spans="1:15" ht="15" customHeight="1" x14ac:dyDescent="0.35">
      <c r="A29" s="18" t="s">
        <v>116</v>
      </c>
      <c r="B29" s="36">
        <v>315.36</v>
      </c>
      <c r="C29" s="36">
        <v>325.89</v>
      </c>
      <c r="D29" s="36">
        <v>380.9</v>
      </c>
      <c r="E29" s="36">
        <v>402.44</v>
      </c>
      <c r="F29" s="36">
        <v>309.20999999999998</v>
      </c>
      <c r="G29" s="36">
        <v>290.49</v>
      </c>
      <c r="H29" s="36">
        <v>324.22000000000003</v>
      </c>
      <c r="I29" s="36">
        <v>307.62</v>
      </c>
      <c r="J29" s="36">
        <v>285.66000000000003</v>
      </c>
      <c r="K29" s="36">
        <v>301.35000000000002</v>
      </c>
      <c r="L29" s="36">
        <v>311.87</v>
      </c>
      <c r="M29" s="36">
        <v>374.4</v>
      </c>
      <c r="N29" s="37">
        <f t="shared" si="0"/>
        <v>3929.41</v>
      </c>
      <c r="O29" s="18" t="s">
        <v>114</v>
      </c>
    </row>
    <row r="30" spans="1:15" ht="15" customHeight="1" x14ac:dyDescent="0.35">
      <c r="A30" s="16" t="s">
        <v>117</v>
      </c>
      <c r="B30" s="34">
        <v>129.71</v>
      </c>
      <c r="C30" s="34">
        <v>142.25</v>
      </c>
      <c r="D30" s="34">
        <v>162.87</v>
      </c>
      <c r="E30" s="34">
        <v>179.69</v>
      </c>
      <c r="F30" s="34">
        <v>154.35</v>
      </c>
      <c r="G30" s="34">
        <v>169.82</v>
      </c>
      <c r="H30" s="34">
        <v>170.25</v>
      </c>
      <c r="I30" s="34">
        <v>153.37</v>
      </c>
      <c r="J30" s="34">
        <v>163.72</v>
      </c>
      <c r="K30" s="34">
        <v>173.69</v>
      </c>
      <c r="L30" s="34">
        <v>157.82</v>
      </c>
      <c r="M30" s="34">
        <v>172.17</v>
      </c>
      <c r="N30" s="35">
        <f t="shared" si="0"/>
        <v>1929.71</v>
      </c>
      <c r="O30" s="16" t="s">
        <v>114</v>
      </c>
    </row>
    <row r="31" spans="1:15" ht="15" customHeight="1" x14ac:dyDescent="0.35">
      <c r="A31" s="18" t="s">
        <v>118</v>
      </c>
      <c r="B31" s="36">
        <v>441.26</v>
      </c>
      <c r="C31" s="36">
        <v>446.73</v>
      </c>
      <c r="D31" s="36">
        <v>535.27</v>
      </c>
      <c r="E31" s="36">
        <v>545.51</v>
      </c>
      <c r="F31" s="36">
        <v>491.23</v>
      </c>
      <c r="G31" s="36">
        <v>516.78</v>
      </c>
      <c r="H31" s="36">
        <v>522.36</v>
      </c>
      <c r="I31" s="36">
        <v>465.38</v>
      </c>
      <c r="J31" s="36">
        <v>463.35</v>
      </c>
      <c r="K31" s="36">
        <v>484.5</v>
      </c>
      <c r="L31" s="36">
        <v>449.18</v>
      </c>
      <c r="M31" s="36">
        <v>134.27000000000001</v>
      </c>
      <c r="N31" s="37">
        <f t="shared" si="0"/>
        <v>5495.8200000000006</v>
      </c>
      <c r="O31" s="18" t="s">
        <v>114</v>
      </c>
    </row>
    <row r="32" spans="1:15" ht="15" customHeight="1" x14ac:dyDescent="0.35">
      <c r="A32" s="16" t="s">
        <v>119</v>
      </c>
      <c r="B32" s="34">
        <v>115.71</v>
      </c>
      <c r="C32" s="34">
        <v>117.79</v>
      </c>
      <c r="D32" s="34">
        <v>141.82</v>
      </c>
      <c r="E32" s="34">
        <v>138.75</v>
      </c>
      <c r="F32" s="34">
        <v>110.51</v>
      </c>
      <c r="G32" s="34">
        <v>118.53</v>
      </c>
      <c r="H32" s="34">
        <v>113.96</v>
      </c>
      <c r="I32" s="34">
        <v>101.7</v>
      </c>
      <c r="J32" s="34">
        <v>101.45</v>
      </c>
      <c r="K32" s="34">
        <v>103.86</v>
      </c>
      <c r="L32" s="34">
        <v>102.57</v>
      </c>
      <c r="M32" s="34">
        <v>111.51</v>
      </c>
      <c r="N32" s="35">
        <f t="shared" si="0"/>
        <v>1378.1599999999999</v>
      </c>
      <c r="O32" s="16" t="s">
        <v>114</v>
      </c>
    </row>
    <row r="33" spans="1:15" ht="15" customHeight="1" x14ac:dyDescent="0.35">
      <c r="A33" s="18" t="s">
        <v>120</v>
      </c>
      <c r="B33" s="36">
        <v>36.630000000000003</v>
      </c>
      <c r="C33" s="36">
        <v>32.090000000000003</v>
      </c>
      <c r="D33" s="36">
        <v>41.72</v>
      </c>
      <c r="E33" s="36">
        <v>45.01</v>
      </c>
      <c r="F33" s="36">
        <v>40.94</v>
      </c>
      <c r="G33" s="36">
        <v>39.35</v>
      </c>
      <c r="H33" s="36">
        <v>38.19</v>
      </c>
      <c r="I33" s="36">
        <v>35.07</v>
      </c>
      <c r="J33" s="36">
        <v>33.89</v>
      </c>
      <c r="K33" s="36">
        <v>34.549999999999997</v>
      </c>
      <c r="L33" s="36">
        <v>32.659999999999997</v>
      </c>
      <c r="M33" s="36">
        <v>35.26</v>
      </c>
      <c r="N33" s="37">
        <f t="shared" si="0"/>
        <v>445.3599999999999</v>
      </c>
      <c r="O33" s="18" t="s">
        <v>114</v>
      </c>
    </row>
    <row r="34" spans="1:15" ht="15" customHeight="1" x14ac:dyDescent="0.35">
      <c r="A34" s="16" t="s">
        <v>121</v>
      </c>
      <c r="B34" s="34">
        <v>62.15</v>
      </c>
      <c r="C34" s="34">
        <v>61.79</v>
      </c>
      <c r="D34" s="34">
        <v>74.95</v>
      </c>
      <c r="E34" s="34">
        <v>77.12</v>
      </c>
      <c r="F34" s="34">
        <v>77.790000000000006</v>
      </c>
      <c r="G34" s="34">
        <v>76.61</v>
      </c>
      <c r="H34" s="34">
        <v>75.47</v>
      </c>
      <c r="I34" s="34">
        <v>68.239999999999995</v>
      </c>
      <c r="J34" s="34">
        <v>72.069999999999993</v>
      </c>
      <c r="K34" s="34">
        <v>73.33</v>
      </c>
      <c r="L34" s="34">
        <v>66.39</v>
      </c>
      <c r="M34" s="34">
        <v>71.62</v>
      </c>
      <c r="N34" s="35">
        <f t="shared" si="0"/>
        <v>857.53000000000009</v>
      </c>
      <c r="O34" s="16" t="s">
        <v>114</v>
      </c>
    </row>
    <row r="35" spans="1:15" ht="15" customHeight="1" x14ac:dyDescent="0.35">
      <c r="A35" s="18" t="s">
        <v>122</v>
      </c>
      <c r="B35" s="36">
        <v>243.04</v>
      </c>
      <c r="C35" s="36">
        <v>247.83</v>
      </c>
      <c r="D35" s="36">
        <v>296.70999999999998</v>
      </c>
      <c r="E35" s="36">
        <v>302.35000000000002</v>
      </c>
      <c r="F35" s="36">
        <v>256.29000000000002</v>
      </c>
      <c r="G35" s="36">
        <v>261.47000000000003</v>
      </c>
      <c r="H35" s="36">
        <v>266.45</v>
      </c>
      <c r="I35" s="36">
        <v>242.79</v>
      </c>
      <c r="J35" s="36">
        <v>248.13</v>
      </c>
      <c r="K35" s="36">
        <v>257.39999999999998</v>
      </c>
      <c r="L35" s="36">
        <v>247.36</v>
      </c>
      <c r="M35" s="36">
        <v>282.56</v>
      </c>
      <c r="N35" s="37">
        <f t="shared" si="0"/>
        <v>3152.38</v>
      </c>
      <c r="O35" s="18" t="s">
        <v>114</v>
      </c>
    </row>
    <row r="36" spans="1:15" ht="15" customHeight="1" x14ac:dyDescent="0.35">
      <c r="A36" s="16" t="s">
        <v>123</v>
      </c>
      <c r="B36" s="34">
        <v>149</v>
      </c>
      <c r="C36" s="34">
        <v>152.9</v>
      </c>
      <c r="D36" s="34">
        <v>184.8</v>
      </c>
      <c r="E36" s="34">
        <v>178.45</v>
      </c>
      <c r="F36" s="34">
        <v>152.55000000000001</v>
      </c>
      <c r="G36" s="34">
        <v>173.09</v>
      </c>
      <c r="H36" s="34">
        <v>178.43</v>
      </c>
      <c r="I36" s="34">
        <v>152.71</v>
      </c>
      <c r="J36" s="34">
        <v>159.80000000000001</v>
      </c>
      <c r="K36" s="34">
        <v>159.43</v>
      </c>
      <c r="L36" s="34">
        <v>152.02000000000001</v>
      </c>
      <c r="M36" s="34">
        <v>163.19999999999999</v>
      </c>
      <c r="N36" s="35">
        <f t="shared" si="0"/>
        <v>1956.38</v>
      </c>
      <c r="O36" s="16" t="s">
        <v>124</v>
      </c>
    </row>
    <row r="37" spans="1:15" ht="15" customHeight="1" x14ac:dyDescent="0.35">
      <c r="A37" s="18" t="s">
        <v>125</v>
      </c>
      <c r="B37" s="36">
        <v>152.58000000000001</v>
      </c>
      <c r="C37" s="36">
        <v>157.97</v>
      </c>
      <c r="D37" s="36">
        <v>197.91</v>
      </c>
      <c r="E37" s="36">
        <v>201.52</v>
      </c>
      <c r="F37" s="36">
        <v>169.27</v>
      </c>
      <c r="G37" s="36">
        <v>178.86</v>
      </c>
      <c r="H37" s="36">
        <v>199.63</v>
      </c>
      <c r="I37" s="36">
        <v>175.14</v>
      </c>
      <c r="J37" s="36">
        <v>177.78</v>
      </c>
      <c r="K37" s="36">
        <v>185.64</v>
      </c>
      <c r="L37" s="36">
        <v>180.4</v>
      </c>
      <c r="M37" s="36">
        <v>201.58</v>
      </c>
      <c r="N37" s="37">
        <f t="shared" si="0"/>
        <v>2178.2800000000002</v>
      </c>
      <c r="O37" s="18" t="s">
        <v>124</v>
      </c>
    </row>
    <row r="38" spans="1:15" ht="15" customHeight="1" x14ac:dyDescent="0.35">
      <c r="A38" s="16" t="s">
        <v>126</v>
      </c>
      <c r="B38" s="34">
        <v>189.15</v>
      </c>
      <c r="C38" s="34">
        <v>196.22</v>
      </c>
      <c r="D38" s="34">
        <v>231.25</v>
      </c>
      <c r="E38" s="34">
        <v>212.68</v>
      </c>
      <c r="F38" s="34">
        <v>211.49</v>
      </c>
      <c r="G38" s="34">
        <v>164.97</v>
      </c>
      <c r="H38" s="34">
        <v>174.12</v>
      </c>
      <c r="I38" s="34">
        <v>180.29</v>
      </c>
      <c r="J38" s="34">
        <v>176.55</v>
      </c>
      <c r="K38" s="34">
        <v>191.84</v>
      </c>
      <c r="L38" s="34">
        <v>216.04</v>
      </c>
      <c r="M38" s="34">
        <v>221.49</v>
      </c>
      <c r="N38" s="35">
        <f t="shared" si="0"/>
        <v>2366.09</v>
      </c>
      <c r="O38" s="16" t="s">
        <v>124</v>
      </c>
    </row>
    <row r="39" spans="1:15" ht="15" customHeight="1" x14ac:dyDescent="0.35">
      <c r="A39" s="18" t="s">
        <v>127</v>
      </c>
      <c r="B39" s="36">
        <v>148.24</v>
      </c>
      <c r="C39" s="36">
        <v>151.78</v>
      </c>
      <c r="D39" s="36">
        <v>232.27</v>
      </c>
      <c r="E39" s="36">
        <v>192.07</v>
      </c>
      <c r="F39" s="36">
        <v>151.46</v>
      </c>
      <c r="G39" s="36">
        <v>162.72999999999999</v>
      </c>
      <c r="H39" s="36">
        <v>165.87</v>
      </c>
      <c r="I39" s="36">
        <v>154.13999999999999</v>
      </c>
      <c r="J39" s="36">
        <v>147.16999999999999</v>
      </c>
      <c r="K39" s="36">
        <v>153.41999999999999</v>
      </c>
      <c r="L39" s="36">
        <v>145.53</v>
      </c>
      <c r="M39" s="36">
        <v>165.62</v>
      </c>
      <c r="N39" s="37">
        <f t="shared" si="0"/>
        <v>1970.3000000000002</v>
      </c>
      <c r="O39" s="18" t="s">
        <v>124</v>
      </c>
    </row>
    <row r="40" spans="1:15" ht="15" customHeight="1" x14ac:dyDescent="0.35">
      <c r="A40" s="16" t="s">
        <v>128</v>
      </c>
      <c r="B40" s="34">
        <v>30.7</v>
      </c>
      <c r="C40" s="34">
        <v>27.98</v>
      </c>
      <c r="D40" s="34">
        <v>37.01</v>
      </c>
      <c r="E40" s="34">
        <v>41.65</v>
      </c>
      <c r="F40" s="34">
        <v>36.83</v>
      </c>
      <c r="G40" s="34">
        <v>38.44</v>
      </c>
      <c r="H40" s="34">
        <v>36.96</v>
      </c>
      <c r="I40" s="34">
        <v>33.380000000000003</v>
      </c>
      <c r="J40" s="34">
        <v>34.299999999999997</v>
      </c>
      <c r="K40" s="34">
        <v>32.93</v>
      </c>
      <c r="L40" s="34">
        <v>23.71</v>
      </c>
      <c r="M40" s="34">
        <v>25.27</v>
      </c>
      <c r="N40" s="35">
        <f t="shared" si="0"/>
        <v>399.16</v>
      </c>
      <c r="O40" s="16" t="s">
        <v>124</v>
      </c>
    </row>
    <row r="41" spans="1:15" ht="15" customHeight="1" x14ac:dyDescent="0.35">
      <c r="A41" s="15" t="s">
        <v>129</v>
      </c>
      <c r="B41" s="38">
        <f t="shared" ref="B41:N41" si="1">SUM(B6:B40)</f>
        <v>65750.490000000005</v>
      </c>
      <c r="C41" s="38">
        <f t="shared" si="1"/>
        <v>67280.929999999978</v>
      </c>
      <c r="D41" s="38">
        <f t="shared" si="1"/>
        <v>77747.35000000002</v>
      </c>
      <c r="E41" s="38">
        <f t="shared" si="1"/>
        <v>77022.740000000005</v>
      </c>
      <c r="F41" s="38">
        <f t="shared" si="1"/>
        <v>75961.840000000011</v>
      </c>
      <c r="G41" s="38">
        <f t="shared" si="1"/>
        <v>74766.570000000036</v>
      </c>
      <c r="H41" s="38">
        <f t="shared" si="1"/>
        <v>78343.72</v>
      </c>
      <c r="I41" s="38">
        <f t="shared" si="1"/>
        <v>69796.570000000007</v>
      </c>
      <c r="J41" s="38">
        <f t="shared" si="1"/>
        <v>67380.320000000022</v>
      </c>
      <c r="K41" s="38">
        <f t="shared" si="1"/>
        <v>73003.359999999986</v>
      </c>
      <c r="L41" s="38">
        <f t="shared" si="1"/>
        <v>69089.219999999987</v>
      </c>
      <c r="M41" s="38">
        <f t="shared" si="1"/>
        <v>68391.12</v>
      </c>
      <c r="N41" s="38">
        <f t="shared" si="1"/>
        <v>864534.22999999986</v>
      </c>
      <c r="O41" s="23"/>
    </row>
    <row r="42" spans="1:15" ht="15" customHeight="1" x14ac:dyDescent="0.3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 spans="1:15" ht="15" customHeight="1" x14ac:dyDescent="0.3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15" customHeight="1" x14ac:dyDescent="0.35">
      <c r="A44" s="12" t="s">
        <v>130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ht="15" customHeight="1" x14ac:dyDescent="0.35">
      <c r="A45" s="20" t="s">
        <v>77</v>
      </c>
      <c r="B45" s="20" t="s">
        <v>78</v>
      </c>
      <c r="C45" s="20" t="s">
        <v>79</v>
      </c>
      <c r="D45" s="20" t="s">
        <v>80</v>
      </c>
      <c r="E45" s="20" t="s">
        <v>81</v>
      </c>
      <c r="F45" s="20" t="s">
        <v>82</v>
      </c>
      <c r="G45" s="20" t="s">
        <v>83</v>
      </c>
      <c r="H45" s="20" t="s">
        <v>84</v>
      </c>
      <c r="I45" s="20" t="s">
        <v>85</v>
      </c>
      <c r="J45" s="20" t="s">
        <v>86</v>
      </c>
      <c r="K45" s="20" t="s">
        <v>87</v>
      </c>
      <c r="L45" s="20" t="s">
        <v>88</v>
      </c>
      <c r="M45" s="20" t="s">
        <v>89</v>
      </c>
      <c r="N45" s="20" t="s">
        <v>67</v>
      </c>
      <c r="O45" s="20" t="s">
        <v>90</v>
      </c>
    </row>
    <row r="46" spans="1:15" ht="15" customHeight="1" x14ac:dyDescent="0.35">
      <c r="A46" s="16" t="s">
        <v>91</v>
      </c>
      <c r="B46" s="34">
        <v>7208.4350000000004</v>
      </c>
      <c r="C46" s="34">
        <v>7139.1989999999996</v>
      </c>
      <c r="D46" s="34">
        <v>7007.3860000000004</v>
      </c>
      <c r="E46" s="34">
        <v>7329.29</v>
      </c>
      <c r="F46" s="34">
        <v>6918.78</v>
      </c>
      <c r="G46" s="34">
        <v>7442.4859999999999</v>
      </c>
      <c r="H46" s="34">
        <v>7567.3289999999997</v>
      </c>
      <c r="I46" s="34">
        <v>7479.1019999999999</v>
      </c>
      <c r="J46" s="34">
        <v>7640.7169999999996</v>
      </c>
      <c r="K46" s="34">
        <v>7559.3850000000002</v>
      </c>
      <c r="L46" s="34">
        <v>6566.2879999999996</v>
      </c>
      <c r="M46" s="34">
        <v>5973.3450000000003</v>
      </c>
      <c r="N46" s="35">
        <f t="shared" ref="N46:N80" si="2">SUM(B46:M46)</f>
        <v>85831.741999999998</v>
      </c>
      <c r="O46" s="16" t="s">
        <v>40</v>
      </c>
    </row>
    <row r="47" spans="1:15" ht="15" customHeight="1" x14ac:dyDescent="0.35">
      <c r="A47" s="18" t="s">
        <v>92</v>
      </c>
      <c r="B47" s="36">
        <v>305.85199999999998</v>
      </c>
      <c r="C47" s="36">
        <v>302.68200000000002</v>
      </c>
      <c r="D47" s="36">
        <v>315.28899999999999</v>
      </c>
      <c r="E47" s="36">
        <v>318.06900000000002</v>
      </c>
      <c r="F47" s="36">
        <v>322.303</v>
      </c>
      <c r="G47" s="36">
        <v>370.86799999999999</v>
      </c>
      <c r="H47" s="36">
        <v>349.24900000000002</v>
      </c>
      <c r="I47" s="36">
        <v>358.45800000000003</v>
      </c>
      <c r="J47" s="36">
        <v>369.11500000000001</v>
      </c>
      <c r="K47" s="36">
        <v>366.65300000000002</v>
      </c>
      <c r="L47" s="36">
        <v>313.39100000000002</v>
      </c>
      <c r="M47" s="36">
        <v>313.39100000000002</v>
      </c>
      <c r="N47" s="37">
        <f t="shared" si="2"/>
        <v>4005.3200000000006</v>
      </c>
      <c r="O47" s="18" t="s">
        <v>40</v>
      </c>
    </row>
    <row r="48" spans="1:15" ht="15" customHeight="1" x14ac:dyDescent="0.35">
      <c r="A48" s="16" t="s">
        <v>93</v>
      </c>
      <c r="B48" s="34">
        <v>6562.7839999999997</v>
      </c>
      <c r="C48" s="34">
        <v>6963.6229999999996</v>
      </c>
      <c r="D48" s="34">
        <v>7901.4589999999998</v>
      </c>
      <c r="E48" s="34">
        <v>7455.4260000000004</v>
      </c>
      <c r="F48" s="34">
        <v>7470.1239999999998</v>
      </c>
      <c r="G48" s="34">
        <v>8699.6409999999996</v>
      </c>
      <c r="H48" s="34">
        <v>7788.3509999999997</v>
      </c>
      <c r="I48" s="34">
        <v>8271.9519999999993</v>
      </c>
      <c r="J48" s="34">
        <v>8207.3250000000007</v>
      </c>
      <c r="K48" s="34">
        <v>8181.3980000000001</v>
      </c>
      <c r="L48" s="34">
        <v>7205.2219999999998</v>
      </c>
      <c r="M48" s="34">
        <v>7506.1049999999996</v>
      </c>
      <c r="N48" s="35">
        <f t="shared" si="2"/>
        <v>92213.409999999989</v>
      </c>
      <c r="O48" s="16" t="s">
        <v>40</v>
      </c>
    </row>
    <row r="49" spans="1:15" ht="15" customHeight="1" x14ac:dyDescent="0.35">
      <c r="A49" s="18" t="s">
        <v>94</v>
      </c>
      <c r="B49" s="36">
        <v>204.053</v>
      </c>
      <c r="C49" s="36">
        <v>194.83099999999999</v>
      </c>
      <c r="D49" s="36">
        <v>204.08</v>
      </c>
      <c r="E49" s="36">
        <v>195.41200000000001</v>
      </c>
      <c r="F49" s="36">
        <v>190.78399999999999</v>
      </c>
      <c r="G49" s="36">
        <v>213.71899999999999</v>
      </c>
      <c r="H49" s="36">
        <v>204.96100000000001</v>
      </c>
      <c r="I49" s="36">
        <v>209.62200000000001</v>
      </c>
      <c r="J49" s="36">
        <v>207.15100000000001</v>
      </c>
      <c r="K49" s="36">
        <v>209.875</v>
      </c>
      <c r="L49" s="36">
        <v>186.13</v>
      </c>
      <c r="M49" s="36">
        <v>184.92699999999999</v>
      </c>
      <c r="N49" s="37">
        <f t="shared" si="2"/>
        <v>2405.5450000000005</v>
      </c>
      <c r="O49" s="18" t="s">
        <v>40</v>
      </c>
    </row>
    <row r="50" spans="1:15" ht="15" customHeight="1" x14ac:dyDescent="0.35">
      <c r="A50" s="16" t="s">
        <v>95</v>
      </c>
      <c r="B50" s="34">
        <v>41.615000000000002</v>
      </c>
      <c r="C50" s="34">
        <v>39.430999999999997</v>
      </c>
      <c r="D50" s="34">
        <v>41.466999999999999</v>
      </c>
      <c r="E50" s="34">
        <v>40.512</v>
      </c>
      <c r="F50" s="34">
        <v>41.704000000000001</v>
      </c>
      <c r="G50" s="34">
        <v>42.941000000000003</v>
      </c>
      <c r="H50" s="34">
        <v>42.557000000000002</v>
      </c>
      <c r="I50" s="34">
        <v>44.216999999999999</v>
      </c>
      <c r="J50" s="34">
        <v>43.103999999999999</v>
      </c>
      <c r="K50" s="34">
        <v>45.634999999999998</v>
      </c>
      <c r="L50" s="34">
        <v>40.143000000000001</v>
      </c>
      <c r="M50" s="34">
        <v>40.093000000000004</v>
      </c>
      <c r="N50" s="35">
        <f t="shared" si="2"/>
        <v>503.41899999999993</v>
      </c>
      <c r="O50" s="16" t="s">
        <v>40</v>
      </c>
    </row>
    <row r="51" spans="1:15" ht="15" customHeight="1" x14ac:dyDescent="0.35">
      <c r="A51" s="18" t="s">
        <v>96</v>
      </c>
      <c r="B51" s="36">
        <v>111.852</v>
      </c>
      <c r="C51" s="36">
        <v>109.325</v>
      </c>
      <c r="D51" s="36">
        <v>113.736</v>
      </c>
      <c r="E51" s="36">
        <v>114.10599999999999</v>
      </c>
      <c r="F51" s="36">
        <v>110.054</v>
      </c>
      <c r="G51" s="36">
        <v>122.58</v>
      </c>
      <c r="H51" s="36">
        <v>127.542</v>
      </c>
      <c r="I51" s="36">
        <v>121.01</v>
      </c>
      <c r="J51" s="36">
        <v>141.75899999999999</v>
      </c>
      <c r="K51" s="36">
        <v>136.922</v>
      </c>
      <c r="L51" s="36">
        <v>104.562</v>
      </c>
      <c r="M51" s="36">
        <v>104.562</v>
      </c>
      <c r="N51" s="37">
        <f t="shared" si="2"/>
        <v>1418.0099999999998</v>
      </c>
      <c r="O51" s="18" t="s">
        <v>40</v>
      </c>
    </row>
    <row r="52" spans="1:15" ht="15" customHeight="1" x14ac:dyDescent="0.35">
      <c r="A52" s="16" t="s">
        <v>97</v>
      </c>
      <c r="B52" s="34">
        <v>67.284000000000006</v>
      </c>
      <c r="C52" s="34">
        <v>67.671000000000006</v>
      </c>
      <c r="D52" s="34">
        <v>66.95</v>
      </c>
      <c r="E52" s="34">
        <v>65.337000000000003</v>
      </c>
      <c r="F52" s="34">
        <v>62.087000000000003</v>
      </c>
      <c r="G52" s="34">
        <v>70.191999999999993</v>
      </c>
      <c r="H52" s="34">
        <v>73.298000000000002</v>
      </c>
      <c r="I52" s="34">
        <v>68.509</v>
      </c>
      <c r="J52" s="34">
        <v>84.435000000000002</v>
      </c>
      <c r="K52" s="34">
        <v>80.218999999999994</v>
      </c>
      <c r="L52" s="34">
        <v>66.266999999999996</v>
      </c>
      <c r="M52" s="34">
        <v>61.32</v>
      </c>
      <c r="N52" s="35">
        <f t="shared" si="2"/>
        <v>833.56900000000007</v>
      </c>
      <c r="O52" s="16" t="s">
        <v>40</v>
      </c>
    </row>
    <row r="53" spans="1:15" ht="15" customHeight="1" x14ac:dyDescent="0.35">
      <c r="A53" s="18" t="s">
        <v>98</v>
      </c>
      <c r="B53" s="36">
        <v>140.85499999999999</v>
      </c>
      <c r="C53" s="36">
        <v>141.46600000000001</v>
      </c>
      <c r="D53" s="36">
        <v>132.96600000000001</v>
      </c>
      <c r="E53" s="36">
        <v>126.989</v>
      </c>
      <c r="F53" s="36">
        <v>125.402</v>
      </c>
      <c r="G53" s="36">
        <v>137.715</v>
      </c>
      <c r="H53" s="36">
        <v>136.935</v>
      </c>
      <c r="I53" s="36">
        <v>130.63999999999999</v>
      </c>
      <c r="J53" s="36">
        <v>147.57599999999999</v>
      </c>
      <c r="K53" s="36">
        <v>144.64400000000001</v>
      </c>
      <c r="L53" s="36">
        <v>125.604</v>
      </c>
      <c r="M53" s="36">
        <v>124.992</v>
      </c>
      <c r="N53" s="37">
        <f t="shared" si="2"/>
        <v>1615.7840000000003</v>
      </c>
      <c r="O53" s="18" t="s">
        <v>40</v>
      </c>
    </row>
    <row r="54" spans="1:15" ht="15" customHeight="1" x14ac:dyDescent="0.35">
      <c r="A54" s="16" t="s">
        <v>99</v>
      </c>
      <c r="B54" s="34">
        <v>145.41900000000001</v>
      </c>
      <c r="C54" s="34">
        <v>137.92500000000001</v>
      </c>
      <c r="D54" s="34">
        <v>140.77799999999999</v>
      </c>
      <c r="E54" s="34">
        <v>136.29599999999999</v>
      </c>
      <c r="F54" s="34">
        <v>156.81</v>
      </c>
      <c r="G54" s="34">
        <v>144.446</v>
      </c>
      <c r="H54" s="34">
        <v>144.85300000000001</v>
      </c>
      <c r="I54" s="34">
        <v>144.19900000000001</v>
      </c>
      <c r="J54" s="34">
        <v>157.65199999999999</v>
      </c>
      <c r="K54" s="34">
        <v>152.53100000000001</v>
      </c>
      <c r="L54" s="34">
        <v>126.68600000000001</v>
      </c>
      <c r="M54" s="34">
        <v>120.697</v>
      </c>
      <c r="N54" s="35">
        <f t="shared" si="2"/>
        <v>1708.2919999999999</v>
      </c>
      <c r="O54" s="16" t="s">
        <v>40</v>
      </c>
    </row>
    <row r="55" spans="1:15" ht="15" customHeight="1" x14ac:dyDescent="0.35">
      <c r="A55" s="18" t="s">
        <v>100</v>
      </c>
      <c r="B55" s="36">
        <v>132.57</v>
      </c>
      <c r="C55" s="36">
        <v>133.22900000000001</v>
      </c>
      <c r="D55" s="36">
        <v>138.249</v>
      </c>
      <c r="E55" s="36">
        <v>134.34100000000001</v>
      </c>
      <c r="F55" s="36">
        <v>127.983</v>
      </c>
      <c r="G55" s="36">
        <v>147.30199999999999</v>
      </c>
      <c r="H55" s="36">
        <v>149.36000000000001</v>
      </c>
      <c r="I55" s="36">
        <v>144.33099999999999</v>
      </c>
      <c r="J55" s="36">
        <v>153.29599999999999</v>
      </c>
      <c r="K55" s="36">
        <v>146.15600000000001</v>
      </c>
      <c r="L55" s="36">
        <v>121.509</v>
      </c>
      <c r="M55" s="36">
        <v>116.559</v>
      </c>
      <c r="N55" s="37">
        <f t="shared" si="2"/>
        <v>1644.885</v>
      </c>
      <c r="O55" s="18" t="s">
        <v>40</v>
      </c>
    </row>
    <row r="56" spans="1:15" ht="15" customHeight="1" x14ac:dyDescent="0.35">
      <c r="A56" s="16" t="s">
        <v>101</v>
      </c>
      <c r="B56" s="34">
        <v>68.802999999999997</v>
      </c>
      <c r="C56" s="34">
        <v>64.811999999999998</v>
      </c>
      <c r="D56" s="34">
        <v>66.256</v>
      </c>
      <c r="E56" s="34">
        <v>63.569000000000003</v>
      </c>
      <c r="F56" s="34">
        <v>61.05</v>
      </c>
      <c r="G56" s="34">
        <v>69.314999999999998</v>
      </c>
      <c r="H56" s="34">
        <v>66.465999999999994</v>
      </c>
      <c r="I56" s="34">
        <v>65.311999999999998</v>
      </c>
      <c r="J56" s="34">
        <v>71.873999999999995</v>
      </c>
      <c r="K56" s="34">
        <v>70.168999999999997</v>
      </c>
      <c r="L56" s="34">
        <v>56.752000000000002</v>
      </c>
      <c r="M56" s="34">
        <v>56.357999999999997</v>
      </c>
      <c r="N56" s="35">
        <f t="shared" si="2"/>
        <v>780.73599999999988</v>
      </c>
      <c r="O56" s="16" t="s">
        <v>40</v>
      </c>
    </row>
    <row r="57" spans="1:15" ht="15" customHeight="1" x14ac:dyDescent="0.35">
      <c r="A57" s="18" t="s">
        <v>102</v>
      </c>
      <c r="B57" s="36">
        <v>446.23</v>
      </c>
      <c r="C57" s="36">
        <v>420.12799999999999</v>
      </c>
      <c r="D57" s="36">
        <v>419.488</v>
      </c>
      <c r="E57" s="36">
        <v>421.04700000000003</v>
      </c>
      <c r="F57" s="36">
        <v>417.03199999999998</v>
      </c>
      <c r="G57" s="36">
        <v>454.88499999999999</v>
      </c>
      <c r="H57" s="36">
        <v>399.40800000000002</v>
      </c>
      <c r="I57" s="36">
        <v>403.23899999999998</v>
      </c>
      <c r="J57" s="36">
        <v>426.67700000000002</v>
      </c>
      <c r="K57" s="36">
        <v>430.28500000000003</v>
      </c>
      <c r="L57" s="36">
        <v>370.30799999999999</v>
      </c>
      <c r="M57" s="36">
        <v>372.096</v>
      </c>
      <c r="N57" s="37">
        <f t="shared" si="2"/>
        <v>4980.8230000000003</v>
      </c>
      <c r="O57" s="18" t="s">
        <v>40</v>
      </c>
    </row>
    <row r="58" spans="1:15" ht="15" customHeight="1" x14ac:dyDescent="0.35">
      <c r="A58" s="16" t="s">
        <v>103</v>
      </c>
      <c r="B58" s="34">
        <v>131.56800000000001</v>
      </c>
      <c r="C58" s="34">
        <v>125.283</v>
      </c>
      <c r="D58" s="34">
        <v>127.402</v>
      </c>
      <c r="E58" s="34">
        <v>122.706</v>
      </c>
      <c r="F58" s="34">
        <v>117.753</v>
      </c>
      <c r="G58" s="34">
        <v>118.914</v>
      </c>
      <c r="H58" s="34">
        <v>130.03</v>
      </c>
      <c r="I58" s="34">
        <v>127.946</v>
      </c>
      <c r="J58" s="34">
        <v>137.239</v>
      </c>
      <c r="K58" s="34">
        <v>135.423</v>
      </c>
      <c r="L58" s="34">
        <v>111.46599999999999</v>
      </c>
      <c r="M58" s="34">
        <v>111.803</v>
      </c>
      <c r="N58" s="35">
        <f t="shared" si="2"/>
        <v>1497.5329999999999</v>
      </c>
      <c r="O58" s="16" t="s">
        <v>40</v>
      </c>
    </row>
    <row r="59" spans="1:15" ht="15" customHeight="1" x14ac:dyDescent="0.35">
      <c r="A59" s="18" t="s">
        <v>104</v>
      </c>
      <c r="B59" s="36">
        <v>115.408</v>
      </c>
      <c r="C59" s="36">
        <v>112.846</v>
      </c>
      <c r="D59" s="36">
        <v>106.343</v>
      </c>
      <c r="E59" s="36">
        <v>108.01300000000001</v>
      </c>
      <c r="F59" s="36">
        <v>101.685</v>
      </c>
      <c r="G59" s="36">
        <v>112.95699999999999</v>
      </c>
      <c r="H59" s="36">
        <v>105.994</v>
      </c>
      <c r="I59" s="36">
        <v>103.869</v>
      </c>
      <c r="J59" s="36">
        <v>124.64700000000001</v>
      </c>
      <c r="K59" s="36">
        <v>136.23500000000001</v>
      </c>
      <c r="L59" s="36">
        <v>122.032</v>
      </c>
      <c r="M59" s="36">
        <v>110.45099999999999</v>
      </c>
      <c r="N59" s="37">
        <f t="shared" si="2"/>
        <v>1360.4800000000002</v>
      </c>
      <c r="O59" s="18" t="s">
        <v>105</v>
      </c>
    </row>
    <row r="60" spans="1:15" ht="15" customHeight="1" x14ac:dyDescent="0.35">
      <c r="A60" s="16" t="s">
        <v>106</v>
      </c>
      <c r="B60" s="34">
        <v>55.006999999999998</v>
      </c>
      <c r="C60" s="34">
        <v>51.593000000000004</v>
      </c>
      <c r="D60" s="34">
        <v>48.139000000000003</v>
      </c>
      <c r="E60" s="34">
        <v>48.353000000000002</v>
      </c>
      <c r="F60" s="34">
        <v>50.249000000000002</v>
      </c>
      <c r="G60" s="34">
        <v>56.085999999999999</v>
      </c>
      <c r="H60" s="34">
        <v>59.503999999999998</v>
      </c>
      <c r="I60" s="34">
        <v>51.805</v>
      </c>
      <c r="J60" s="34">
        <v>62.814999999999998</v>
      </c>
      <c r="K60" s="34">
        <v>63.944000000000003</v>
      </c>
      <c r="L60" s="34">
        <v>50.923000000000002</v>
      </c>
      <c r="M60" s="34">
        <v>47.887</v>
      </c>
      <c r="N60" s="35">
        <f t="shared" si="2"/>
        <v>646.30500000000006</v>
      </c>
      <c r="O60" s="16" t="s">
        <v>105</v>
      </c>
    </row>
    <row r="61" spans="1:15" ht="15" customHeight="1" x14ac:dyDescent="0.35">
      <c r="A61" s="18" t="s">
        <v>107</v>
      </c>
      <c r="B61" s="36">
        <v>39.963999999999999</v>
      </c>
      <c r="C61" s="36">
        <v>38.603000000000002</v>
      </c>
      <c r="D61" s="36">
        <v>39.192</v>
      </c>
      <c r="E61" s="36">
        <v>38.811999999999998</v>
      </c>
      <c r="F61" s="36">
        <v>39.304000000000002</v>
      </c>
      <c r="G61" s="36">
        <v>45.956000000000003</v>
      </c>
      <c r="H61" s="36">
        <v>43.557000000000002</v>
      </c>
      <c r="I61" s="36">
        <v>38.948</v>
      </c>
      <c r="J61" s="36">
        <v>45.881999999999998</v>
      </c>
      <c r="K61" s="36">
        <v>45.591000000000001</v>
      </c>
      <c r="L61" s="36">
        <v>37.121000000000002</v>
      </c>
      <c r="M61" s="36">
        <v>35.838000000000001</v>
      </c>
      <c r="N61" s="37">
        <f t="shared" si="2"/>
        <v>488.76800000000003</v>
      </c>
      <c r="O61" s="18" t="s">
        <v>105</v>
      </c>
    </row>
    <row r="62" spans="1:15" ht="15" customHeight="1" x14ac:dyDescent="0.35">
      <c r="A62" s="16" t="s">
        <v>108</v>
      </c>
      <c r="B62" s="34">
        <v>37.414999999999999</v>
      </c>
      <c r="C62" s="34">
        <v>33.994</v>
      </c>
      <c r="D62" s="34">
        <v>35.640999999999998</v>
      </c>
      <c r="E62" s="34">
        <v>34.578000000000003</v>
      </c>
      <c r="F62" s="34">
        <v>33.668999999999997</v>
      </c>
      <c r="G62" s="34">
        <v>37.915999999999997</v>
      </c>
      <c r="H62" s="34">
        <v>36.569000000000003</v>
      </c>
      <c r="I62" s="34">
        <v>34.679000000000002</v>
      </c>
      <c r="J62" s="34">
        <v>41.767000000000003</v>
      </c>
      <c r="K62" s="34">
        <v>41.273000000000003</v>
      </c>
      <c r="L62" s="34">
        <v>35.664999999999999</v>
      </c>
      <c r="M62" s="34">
        <v>32.186999999999998</v>
      </c>
      <c r="N62" s="35">
        <f t="shared" si="2"/>
        <v>435.35300000000007</v>
      </c>
      <c r="O62" s="16" t="s">
        <v>105</v>
      </c>
    </row>
    <row r="63" spans="1:15" ht="15" customHeight="1" x14ac:dyDescent="0.35">
      <c r="A63" s="18" t="s">
        <v>109</v>
      </c>
      <c r="B63" s="36">
        <v>25.257999999999999</v>
      </c>
      <c r="C63" s="36">
        <v>23.27</v>
      </c>
      <c r="D63" s="36">
        <v>27.207999999999998</v>
      </c>
      <c r="E63" s="36">
        <v>22.773</v>
      </c>
      <c r="F63" s="36">
        <v>22.116</v>
      </c>
      <c r="G63" s="36">
        <v>26.434999999999999</v>
      </c>
      <c r="H63" s="36">
        <v>26.48</v>
      </c>
      <c r="I63" s="36">
        <v>23.405000000000001</v>
      </c>
      <c r="J63" s="36">
        <v>27.327999999999999</v>
      </c>
      <c r="K63" s="36">
        <v>26.384</v>
      </c>
      <c r="L63" s="36">
        <v>21.361999999999998</v>
      </c>
      <c r="M63" s="36">
        <v>21.071000000000002</v>
      </c>
      <c r="N63" s="37">
        <f t="shared" si="2"/>
        <v>293.09000000000003</v>
      </c>
      <c r="O63" s="18" t="s">
        <v>105</v>
      </c>
    </row>
    <row r="64" spans="1:15" ht="15" customHeight="1" x14ac:dyDescent="0.35">
      <c r="A64" s="16" t="s">
        <v>110</v>
      </c>
      <c r="B64" s="34">
        <v>47.932000000000002</v>
      </c>
      <c r="C64" s="34">
        <v>42.762999999999998</v>
      </c>
      <c r="D64" s="34">
        <v>45.499000000000002</v>
      </c>
      <c r="E64" s="34">
        <v>45.93</v>
      </c>
      <c r="F64" s="34">
        <v>45.154000000000003</v>
      </c>
      <c r="G64" s="34">
        <v>52.787999999999997</v>
      </c>
      <c r="H64" s="34">
        <v>49.735999999999997</v>
      </c>
      <c r="I64" s="34">
        <v>50.076999999999998</v>
      </c>
      <c r="J64" s="34">
        <v>56.189</v>
      </c>
      <c r="K64" s="34">
        <v>55.026000000000003</v>
      </c>
      <c r="L64" s="34">
        <v>46.661000000000001</v>
      </c>
      <c r="M64" s="34">
        <v>44.750999999999998</v>
      </c>
      <c r="N64" s="35">
        <f t="shared" si="2"/>
        <v>582.50599999999997</v>
      </c>
      <c r="O64" s="16" t="s">
        <v>105</v>
      </c>
    </row>
    <row r="65" spans="1:15" ht="15" customHeight="1" x14ac:dyDescent="0.35">
      <c r="A65" s="18" t="s">
        <v>111</v>
      </c>
      <c r="B65" s="36">
        <v>111.541</v>
      </c>
      <c r="C65" s="36">
        <v>98.68</v>
      </c>
      <c r="D65" s="36">
        <v>108.125</v>
      </c>
      <c r="E65" s="36">
        <v>99.858999999999995</v>
      </c>
      <c r="F65" s="36">
        <v>97.641000000000005</v>
      </c>
      <c r="G65" s="36">
        <v>111.253</v>
      </c>
      <c r="H65" s="36">
        <v>115.117</v>
      </c>
      <c r="I65" s="36">
        <v>110.90300000000001</v>
      </c>
      <c r="J65" s="36">
        <v>129.57900000000001</v>
      </c>
      <c r="K65" s="36">
        <v>134.62899999999999</v>
      </c>
      <c r="L65" s="36">
        <v>117</v>
      </c>
      <c r="M65" s="36">
        <v>108.53</v>
      </c>
      <c r="N65" s="37">
        <f t="shared" si="2"/>
        <v>1342.857</v>
      </c>
      <c r="O65" s="18" t="s">
        <v>105</v>
      </c>
    </row>
    <row r="66" spans="1:15" ht="15" customHeight="1" x14ac:dyDescent="0.35">
      <c r="A66" s="16" t="s">
        <v>112</v>
      </c>
      <c r="B66" s="34">
        <v>157.19200000000001</v>
      </c>
      <c r="C66" s="34">
        <v>165.001</v>
      </c>
      <c r="D66" s="34">
        <v>131.92500000000001</v>
      </c>
      <c r="E66" s="34">
        <v>110.474</v>
      </c>
      <c r="F66" s="34">
        <v>134.24799999999999</v>
      </c>
      <c r="G66" s="34">
        <v>136.303</v>
      </c>
      <c r="H66" s="34">
        <v>127.093</v>
      </c>
      <c r="I66" s="34">
        <v>123.449</v>
      </c>
      <c r="J66" s="34">
        <v>152.79400000000001</v>
      </c>
      <c r="K66" s="34">
        <v>171.77799999999999</v>
      </c>
      <c r="L66" s="34">
        <v>144.523</v>
      </c>
      <c r="M66" s="34">
        <v>133.33099999999999</v>
      </c>
      <c r="N66" s="35">
        <f t="shared" si="2"/>
        <v>1688.1109999999999</v>
      </c>
      <c r="O66" s="16" t="s">
        <v>105</v>
      </c>
    </row>
    <row r="67" spans="1:15" ht="15" customHeight="1" x14ac:dyDescent="0.35">
      <c r="A67" s="18" t="s">
        <v>113</v>
      </c>
      <c r="B67" s="36">
        <v>43.398000000000003</v>
      </c>
      <c r="C67" s="36">
        <v>41.561</v>
      </c>
      <c r="D67" s="36">
        <v>40.956000000000003</v>
      </c>
      <c r="E67" s="36">
        <v>40.414999999999999</v>
      </c>
      <c r="F67" s="36">
        <v>39.497</v>
      </c>
      <c r="G67" s="36">
        <v>43.286000000000001</v>
      </c>
      <c r="H67" s="36">
        <v>44.350999999999999</v>
      </c>
      <c r="I67" s="36">
        <v>38.549999999999997</v>
      </c>
      <c r="J67" s="36">
        <v>45.23</v>
      </c>
      <c r="K67" s="36">
        <v>45.741999999999997</v>
      </c>
      <c r="L67" s="36">
        <v>36.143999999999998</v>
      </c>
      <c r="M67" s="36">
        <v>35.322000000000003</v>
      </c>
      <c r="N67" s="37">
        <f t="shared" si="2"/>
        <v>494.45200000000006</v>
      </c>
      <c r="O67" s="18" t="s">
        <v>114</v>
      </c>
    </row>
    <row r="68" spans="1:15" ht="15" customHeight="1" x14ac:dyDescent="0.35">
      <c r="A68" s="16" t="s">
        <v>115</v>
      </c>
      <c r="B68" s="34">
        <v>28.454999999999998</v>
      </c>
      <c r="C68" s="34">
        <v>27.181999999999999</v>
      </c>
      <c r="D68" s="34">
        <v>27.776</v>
      </c>
      <c r="E68" s="34">
        <v>26.565999999999999</v>
      </c>
      <c r="F68" s="34">
        <v>25.538</v>
      </c>
      <c r="G68" s="34">
        <v>28.931999999999999</v>
      </c>
      <c r="H68" s="34">
        <v>29.268000000000001</v>
      </c>
      <c r="I68" s="34">
        <v>28.181999999999999</v>
      </c>
      <c r="J68" s="34">
        <v>32.679000000000002</v>
      </c>
      <c r="K68" s="34">
        <v>32.691000000000003</v>
      </c>
      <c r="L68" s="34">
        <v>23.585000000000001</v>
      </c>
      <c r="M68" s="34">
        <v>23.565999999999999</v>
      </c>
      <c r="N68" s="35">
        <f t="shared" si="2"/>
        <v>334.41999999999996</v>
      </c>
      <c r="O68" s="16" t="s">
        <v>114</v>
      </c>
    </row>
    <row r="69" spans="1:15" ht="15" customHeight="1" x14ac:dyDescent="0.35">
      <c r="A69" s="18" t="s">
        <v>116</v>
      </c>
      <c r="B69" s="36">
        <v>98.686999999999998</v>
      </c>
      <c r="C69" s="36">
        <v>88.683000000000007</v>
      </c>
      <c r="D69" s="36">
        <v>87.283000000000001</v>
      </c>
      <c r="E69" s="36">
        <v>79.834999999999994</v>
      </c>
      <c r="F69" s="36">
        <v>82.754999999999995</v>
      </c>
      <c r="G69" s="36">
        <v>87.83</v>
      </c>
      <c r="H69" s="36">
        <v>79.465999999999994</v>
      </c>
      <c r="I69" s="36">
        <v>84.831000000000003</v>
      </c>
      <c r="J69" s="36">
        <v>104.79600000000001</v>
      </c>
      <c r="K69" s="36">
        <v>108.267</v>
      </c>
      <c r="L69" s="36">
        <v>87.653999999999996</v>
      </c>
      <c r="M69" s="36">
        <v>88.441000000000003</v>
      </c>
      <c r="N69" s="37">
        <f t="shared" si="2"/>
        <v>1078.528</v>
      </c>
      <c r="O69" s="18" t="s">
        <v>114</v>
      </c>
    </row>
    <row r="70" spans="1:15" ht="15" customHeight="1" x14ac:dyDescent="0.35">
      <c r="A70" s="16" t="s">
        <v>117</v>
      </c>
      <c r="B70" s="34">
        <v>51.600999999999999</v>
      </c>
      <c r="C70" s="34">
        <v>46.372999999999998</v>
      </c>
      <c r="D70" s="34">
        <v>52.156999999999996</v>
      </c>
      <c r="E70" s="34">
        <v>48.65</v>
      </c>
      <c r="F70" s="34">
        <v>46.508000000000003</v>
      </c>
      <c r="G70" s="34">
        <v>50.64</v>
      </c>
      <c r="H70" s="34">
        <v>48.084000000000003</v>
      </c>
      <c r="I70" s="34">
        <v>48.131</v>
      </c>
      <c r="J70" s="34">
        <v>53.500999999999998</v>
      </c>
      <c r="K70" s="34">
        <v>48.662999999999997</v>
      </c>
      <c r="L70" s="34">
        <v>40.582999999999998</v>
      </c>
      <c r="M70" s="34">
        <v>39.862000000000002</v>
      </c>
      <c r="N70" s="35">
        <f t="shared" si="2"/>
        <v>574.75299999999993</v>
      </c>
      <c r="O70" s="16" t="s">
        <v>114</v>
      </c>
    </row>
    <row r="71" spans="1:15" ht="15" customHeight="1" x14ac:dyDescent="0.35">
      <c r="A71" s="18" t="s">
        <v>118</v>
      </c>
      <c r="B71" s="36">
        <v>128.71</v>
      </c>
      <c r="C71" s="36">
        <v>120.542</v>
      </c>
      <c r="D71" s="36">
        <v>138.51</v>
      </c>
      <c r="E71" s="36">
        <v>145.60300000000001</v>
      </c>
      <c r="F71" s="36">
        <v>130.16200000000001</v>
      </c>
      <c r="G71" s="36">
        <v>153.55799999999999</v>
      </c>
      <c r="H71" s="36">
        <v>160.803</v>
      </c>
      <c r="I71" s="36">
        <v>139.05600000000001</v>
      </c>
      <c r="J71" s="36">
        <v>153.41200000000001</v>
      </c>
      <c r="K71" s="36">
        <v>153.518</v>
      </c>
      <c r="L71" s="36">
        <v>124.943</v>
      </c>
      <c r="M71" s="36">
        <v>123.812</v>
      </c>
      <c r="N71" s="37">
        <f t="shared" si="2"/>
        <v>1672.6289999999999</v>
      </c>
      <c r="O71" s="18" t="s">
        <v>114</v>
      </c>
    </row>
    <row r="72" spans="1:15" ht="15" customHeight="1" x14ac:dyDescent="0.35">
      <c r="A72" s="16" t="s">
        <v>119</v>
      </c>
      <c r="B72" s="34">
        <v>31.494</v>
      </c>
      <c r="C72" s="34">
        <v>29.629000000000001</v>
      </c>
      <c r="D72" s="34">
        <v>34.073999999999998</v>
      </c>
      <c r="E72" s="34">
        <v>32.691000000000003</v>
      </c>
      <c r="F72" s="34">
        <v>33.362000000000002</v>
      </c>
      <c r="G72" s="34">
        <v>35.966999999999999</v>
      </c>
      <c r="H72" s="34">
        <v>35.103000000000002</v>
      </c>
      <c r="I72" s="34">
        <v>31.404</v>
      </c>
      <c r="J72" s="34">
        <v>38.590000000000003</v>
      </c>
      <c r="K72" s="34">
        <v>42.695</v>
      </c>
      <c r="L72" s="34">
        <v>36.94</v>
      </c>
      <c r="M72" s="34">
        <v>36.262</v>
      </c>
      <c r="N72" s="35">
        <f t="shared" si="2"/>
        <v>418.21099999999996</v>
      </c>
      <c r="O72" s="16" t="s">
        <v>114</v>
      </c>
    </row>
    <row r="73" spans="1:15" ht="15" customHeight="1" x14ac:dyDescent="0.35">
      <c r="A73" s="18" t="s">
        <v>120</v>
      </c>
      <c r="B73" s="36">
        <v>12.73</v>
      </c>
      <c r="C73" s="36">
        <v>11.71</v>
      </c>
      <c r="D73" s="36">
        <v>12.654999999999999</v>
      </c>
      <c r="E73" s="36">
        <v>11.619</v>
      </c>
      <c r="F73" s="36">
        <v>11.285</v>
      </c>
      <c r="G73" s="36">
        <v>12.602</v>
      </c>
      <c r="H73" s="36">
        <v>12.426</v>
      </c>
      <c r="I73" s="36">
        <v>12.698</v>
      </c>
      <c r="J73" s="36">
        <v>13.952</v>
      </c>
      <c r="K73" s="36">
        <v>13.327999999999999</v>
      </c>
      <c r="L73" s="36">
        <v>10.77</v>
      </c>
      <c r="M73" s="36">
        <v>11.709</v>
      </c>
      <c r="N73" s="37">
        <f t="shared" si="2"/>
        <v>147.48400000000001</v>
      </c>
      <c r="O73" s="18" t="s">
        <v>114</v>
      </c>
    </row>
    <row r="74" spans="1:15" ht="15" customHeight="1" x14ac:dyDescent="0.35">
      <c r="A74" s="16" t="s">
        <v>121</v>
      </c>
      <c r="B74" s="34">
        <v>19.751999999999999</v>
      </c>
      <c r="C74" s="34">
        <v>18.338000000000001</v>
      </c>
      <c r="D74" s="34">
        <v>20.86</v>
      </c>
      <c r="E74" s="34">
        <v>21.206</v>
      </c>
      <c r="F74" s="34">
        <v>18.920999999999999</v>
      </c>
      <c r="G74" s="34">
        <v>21.462</v>
      </c>
      <c r="H74" s="34">
        <v>22.390999999999998</v>
      </c>
      <c r="I74" s="34">
        <v>24.728000000000002</v>
      </c>
      <c r="J74" s="34">
        <v>23.2</v>
      </c>
      <c r="K74" s="34">
        <v>22.27</v>
      </c>
      <c r="L74" s="34">
        <v>19.058</v>
      </c>
      <c r="M74" s="34">
        <v>18.350000000000001</v>
      </c>
      <c r="N74" s="35">
        <f t="shared" si="2"/>
        <v>250.536</v>
      </c>
      <c r="O74" s="16" t="s">
        <v>114</v>
      </c>
    </row>
    <row r="75" spans="1:15" ht="15" customHeight="1" x14ac:dyDescent="0.35">
      <c r="A75" s="18" t="s">
        <v>122</v>
      </c>
      <c r="B75" s="36">
        <v>74.551000000000002</v>
      </c>
      <c r="C75" s="36">
        <v>65.477999999999994</v>
      </c>
      <c r="D75" s="36">
        <v>70.766000000000005</v>
      </c>
      <c r="E75" s="36">
        <v>66.831000000000003</v>
      </c>
      <c r="F75" s="36">
        <v>64.364999999999995</v>
      </c>
      <c r="G75" s="36">
        <v>71.253</v>
      </c>
      <c r="H75" s="36">
        <v>71.260999999999996</v>
      </c>
      <c r="I75" s="36">
        <v>71.34</v>
      </c>
      <c r="J75" s="36">
        <v>84.644000000000005</v>
      </c>
      <c r="K75" s="36">
        <v>80.106999999999999</v>
      </c>
      <c r="L75" s="36">
        <v>67.775000000000006</v>
      </c>
      <c r="M75" s="36">
        <v>65.424999999999997</v>
      </c>
      <c r="N75" s="37">
        <f t="shared" si="2"/>
        <v>853.79599999999994</v>
      </c>
      <c r="O75" s="18" t="s">
        <v>114</v>
      </c>
    </row>
    <row r="76" spans="1:15" ht="15" customHeight="1" x14ac:dyDescent="0.35">
      <c r="A76" s="16" t="s">
        <v>123</v>
      </c>
      <c r="B76" s="34">
        <v>45.61</v>
      </c>
      <c r="C76" s="34">
        <v>40.884999999999998</v>
      </c>
      <c r="D76" s="34">
        <v>42.206000000000003</v>
      </c>
      <c r="E76" s="34">
        <v>42.709000000000003</v>
      </c>
      <c r="F76" s="34">
        <v>41.045000000000002</v>
      </c>
      <c r="G76" s="34">
        <v>47.673000000000002</v>
      </c>
      <c r="H76" s="34">
        <v>46.140999999999998</v>
      </c>
      <c r="I76" s="34">
        <v>43.290999999999997</v>
      </c>
      <c r="J76" s="34">
        <v>49.591000000000001</v>
      </c>
      <c r="K76" s="34">
        <v>52.082000000000001</v>
      </c>
      <c r="L76" s="34">
        <v>42.673000000000002</v>
      </c>
      <c r="M76" s="34">
        <v>43.021000000000001</v>
      </c>
      <c r="N76" s="35">
        <f t="shared" si="2"/>
        <v>536.92700000000002</v>
      </c>
      <c r="O76" s="16" t="s">
        <v>124</v>
      </c>
    </row>
    <row r="77" spans="1:15" ht="15" customHeight="1" x14ac:dyDescent="0.35">
      <c r="A77" s="18" t="s">
        <v>125</v>
      </c>
      <c r="B77" s="36">
        <v>55.911000000000001</v>
      </c>
      <c r="C77" s="36">
        <v>49.84</v>
      </c>
      <c r="D77" s="36">
        <v>50.738</v>
      </c>
      <c r="E77" s="36">
        <v>49.093000000000004</v>
      </c>
      <c r="F77" s="36">
        <v>51.991999999999997</v>
      </c>
      <c r="G77" s="36">
        <v>54.405999999999999</v>
      </c>
      <c r="H77" s="36">
        <v>48.734999999999999</v>
      </c>
      <c r="I77" s="36">
        <v>46.472000000000001</v>
      </c>
      <c r="J77" s="36">
        <v>54.811999999999998</v>
      </c>
      <c r="K77" s="36">
        <v>53.512</v>
      </c>
      <c r="L77" s="36">
        <v>43.350999999999999</v>
      </c>
      <c r="M77" s="36">
        <v>41.996000000000002</v>
      </c>
      <c r="N77" s="37">
        <f t="shared" si="2"/>
        <v>600.85799999999995</v>
      </c>
      <c r="O77" s="18" t="s">
        <v>124</v>
      </c>
    </row>
    <row r="78" spans="1:15" ht="15" customHeight="1" x14ac:dyDescent="0.35">
      <c r="A78" s="16" t="s">
        <v>126</v>
      </c>
      <c r="B78" s="34">
        <v>66.088999999999999</v>
      </c>
      <c r="C78" s="34">
        <v>64.536000000000001</v>
      </c>
      <c r="D78" s="34">
        <v>55.76</v>
      </c>
      <c r="E78" s="34">
        <v>49.895000000000003</v>
      </c>
      <c r="F78" s="34">
        <v>50.991999999999997</v>
      </c>
      <c r="G78" s="34">
        <v>48.475999999999999</v>
      </c>
      <c r="H78" s="34">
        <v>45.66</v>
      </c>
      <c r="I78" s="34">
        <v>60.06</v>
      </c>
      <c r="J78" s="34">
        <v>60.06</v>
      </c>
      <c r="K78" s="34">
        <v>64.747</v>
      </c>
      <c r="L78" s="34">
        <v>55.276000000000003</v>
      </c>
      <c r="M78" s="34">
        <v>52.247999999999998</v>
      </c>
      <c r="N78" s="35">
        <f t="shared" si="2"/>
        <v>673.79899999999998</v>
      </c>
      <c r="O78" s="16" t="s">
        <v>124</v>
      </c>
    </row>
    <row r="79" spans="1:15" ht="15" customHeight="1" x14ac:dyDescent="0.35">
      <c r="A79" s="18" t="s">
        <v>127</v>
      </c>
      <c r="B79" s="36">
        <v>47.326000000000001</v>
      </c>
      <c r="C79" s="36">
        <v>40.454999999999998</v>
      </c>
      <c r="D79" s="36">
        <v>39.963000000000001</v>
      </c>
      <c r="E79" s="36">
        <v>38.56</v>
      </c>
      <c r="F79" s="36">
        <v>40.14</v>
      </c>
      <c r="G79" s="36">
        <v>43.140999999999998</v>
      </c>
      <c r="H79" s="36">
        <v>42.49</v>
      </c>
      <c r="I79" s="36">
        <v>40.264000000000003</v>
      </c>
      <c r="J79" s="36">
        <v>50.564999999999998</v>
      </c>
      <c r="K79" s="36">
        <v>52.18</v>
      </c>
      <c r="L79" s="36">
        <v>41.655000000000001</v>
      </c>
      <c r="M79" s="36">
        <v>40.582000000000001</v>
      </c>
      <c r="N79" s="37">
        <f t="shared" si="2"/>
        <v>517.32100000000003</v>
      </c>
      <c r="O79" s="18" t="s">
        <v>124</v>
      </c>
    </row>
    <row r="80" spans="1:15" ht="15" customHeight="1" x14ac:dyDescent="0.35">
      <c r="A80" s="16" t="s">
        <v>128</v>
      </c>
      <c r="B80" s="34">
        <v>8.0359999999999996</v>
      </c>
      <c r="C80" s="34">
        <v>7.476</v>
      </c>
      <c r="D80" s="34">
        <v>10.287000000000001</v>
      </c>
      <c r="E80" s="34">
        <v>10.851000000000001</v>
      </c>
      <c r="F80" s="34">
        <v>10.686999999999999</v>
      </c>
      <c r="G80" s="34">
        <v>11.451000000000001</v>
      </c>
      <c r="H80" s="34">
        <v>12.108000000000001</v>
      </c>
      <c r="I80" s="34">
        <v>11.406000000000001</v>
      </c>
      <c r="J80" s="34">
        <v>12.989000000000001</v>
      </c>
      <c r="K80" s="34">
        <v>11.569000000000001</v>
      </c>
      <c r="L80" s="34">
        <v>8.6189999999999998</v>
      </c>
      <c r="M80" s="34">
        <v>9.3979999999999997</v>
      </c>
      <c r="N80" s="35">
        <f t="shared" si="2"/>
        <v>124.87700000000001</v>
      </c>
      <c r="O80" s="16" t="s">
        <v>124</v>
      </c>
    </row>
    <row r="81" spans="1:15" ht="15" customHeight="1" x14ac:dyDescent="0.35">
      <c r="A81" s="15" t="s">
        <v>129</v>
      </c>
      <c r="B81" s="38">
        <f t="shared" ref="B81:N81" si="3">SUM(B46:B80)</f>
        <v>16869.386999999995</v>
      </c>
      <c r="C81" s="38">
        <f t="shared" si="3"/>
        <v>17059.043000000001</v>
      </c>
      <c r="D81" s="38">
        <f t="shared" si="3"/>
        <v>17901.568999999992</v>
      </c>
      <c r="E81" s="38">
        <f t="shared" si="3"/>
        <v>17696.415999999994</v>
      </c>
      <c r="F81" s="38">
        <f t="shared" si="3"/>
        <v>17293.180999999993</v>
      </c>
      <c r="G81" s="38">
        <f t="shared" si="3"/>
        <v>19325.374999999996</v>
      </c>
      <c r="H81" s="38">
        <f t="shared" si="3"/>
        <v>18442.675999999996</v>
      </c>
      <c r="I81" s="38">
        <f t="shared" si="3"/>
        <v>18786.084999999995</v>
      </c>
      <c r="J81" s="38">
        <f t="shared" si="3"/>
        <v>19206.942000000006</v>
      </c>
      <c r="K81" s="38">
        <f t="shared" si="3"/>
        <v>19115.525999999998</v>
      </c>
      <c r="L81" s="38">
        <f t="shared" si="3"/>
        <v>16608.640999999996</v>
      </c>
      <c r="M81" s="38">
        <f t="shared" si="3"/>
        <v>16250.288</v>
      </c>
      <c r="N81" s="38">
        <f t="shared" si="3"/>
        <v>214555.12900000002</v>
      </c>
      <c r="O81" s="23"/>
    </row>
    <row r="84" spans="1:15" x14ac:dyDescent="0.35">
      <c r="A84" s="8" t="s">
        <v>131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ht="36" customHeight="1" x14ac:dyDescent="0.35">
      <c r="A85" s="7" t="s">
        <v>132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x14ac:dyDescent="0.35">
      <c r="A86" s="39" t="s">
        <v>133</v>
      </c>
      <c r="B86" s="6" t="s">
        <v>134</v>
      </c>
      <c r="C86" s="6"/>
      <c r="D86" s="6"/>
      <c r="E86" s="6"/>
      <c r="F86" s="5" t="s">
        <v>135</v>
      </c>
      <c r="G86" s="5"/>
      <c r="H86" s="5"/>
      <c r="I86" s="5"/>
      <c r="J86" s="4" t="s">
        <v>136</v>
      </c>
      <c r="K86" s="4"/>
      <c r="L86" s="4"/>
      <c r="M86" s="4"/>
    </row>
    <row r="88" spans="1:15" x14ac:dyDescent="0.35">
      <c r="A88" s="40" t="s">
        <v>137</v>
      </c>
      <c r="B88" s="41" t="s">
        <v>78</v>
      </c>
      <c r="C88" s="41" t="s">
        <v>79</v>
      </c>
      <c r="D88" s="41" t="s">
        <v>80</v>
      </c>
      <c r="E88" s="41" t="s">
        <v>81</v>
      </c>
      <c r="F88" s="41" t="s">
        <v>82</v>
      </c>
      <c r="G88" s="41" t="s">
        <v>83</v>
      </c>
      <c r="H88" s="41" t="s">
        <v>84</v>
      </c>
      <c r="I88" s="41" t="s">
        <v>85</v>
      </c>
      <c r="J88" s="41" t="s">
        <v>86</v>
      </c>
      <c r="K88" s="41" t="s">
        <v>87</v>
      </c>
      <c r="L88" s="41" t="s">
        <v>88</v>
      </c>
      <c r="M88" s="41" t="s">
        <v>89</v>
      </c>
      <c r="N88" s="41" t="s">
        <v>138</v>
      </c>
      <c r="O88" s="41" t="s">
        <v>139</v>
      </c>
    </row>
    <row r="89" spans="1:15" ht="26" x14ac:dyDescent="0.35">
      <c r="A89" s="42" t="s">
        <v>140</v>
      </c>
      <c r="B89" s="43">
        <v>5.37</v>
      </c>
      <c r="C89" s="43">
        <v>5.82</v>
      </c>
      <c r="D89" s="43">
        <v>6.23</v>
      </c>
      <c r="E89" s="43">
        <v>6.1</v>
      </c>
      <c r="F89" s="44">
        <v>5.41</v>
      </c>
      <c r="G89" s="44">
        <v>4.8899999999999997</v>
      </c>
      <c r="H89" s="44">
        <v>4.95</v>
      </c>
      <c r="I89" s="44">
        <v>5.12</v>
      </c>
      <c r="J89" s="44">
        <v>5.05</v>
      </c>
      <c r="K89" s="44">
        <v>4.9800000000000004</v>
      </c>
      <c r="L89" s="43">
        <v>4.72</v>
      </c>
      <c r="M89" s="43">
        <v>4.8499999999999996</v>
      </c>
      <c r="N89" s="45">
        <v>5.29</v>
      </c>
      <c r="O89" s="46" t="s">
        <v>141</v>
      </c>
    </row>
    <row r="90" spans="1:15" ht="30" customHeight="1" x14ac:dyDescent="0.35">
      <c r="A90" s="3" t="s">
        <v>142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5">
      <c r="A91" s="42" t="s">
        <v>143</v>
      </c>
      <c r="B91" s="43">
        <v>28</v>
      </c>
      <c r="C91" s="43">
        <v>28.2</v>
      </c>
      <c r="D91" s="43">
        <v>28.9</v>
      </c>
      <c r="E91" s="43">
        <v>29.3</v>
      </c>
      <c r="F91" s="44">
        <v>29</v>
      </c>
      <c r="G91" s="44">
        <v>28.4</v>
      </c>
      <c r="H91" s="44">
        <v>28</v>
      </c>
      <c r="I91" s="44">
        <v>28</v>
      </c>
      <c r="J91" s="44">
        <v>28</v>
      </c>
      <c r="K91" s="44">
        <v>28.2</v>
      </c>
      <c r="L91" s="43">
        <v>28.2</v>
      </c>
      <c r="M91" s="43">
        <v>28</v>
      </c>
      <c r="N91" s="45">
        <v>28.4</v>
      </c>
      <c r="O91" s="46" t="s">
        <v>144</v>
      </c>
    </row>
    <row r="92" spans="1:15" ht="30" customHeight="1" x14ac:dyDescent="0.35">
      <c r="A92" s="3" t="s">
        <v>145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25" x14ac:dyDescent="0.35">
      <c r="A93" s="42" t="s">
        <v>146</v>
      </c>
      <c r="B93" s="43">
        <v>114</v>
      </c>
      <c r="C93" s="43">
        <v>53</v>
      </c>
      <c r="D93" s="43">
        <v>73</v>
      </c>
      <c r="E93" s="43">
        <v>122</v>
      </c>
      <c r="F93" s="44">
        <v>221</v>
      </c>
      <c r="G93" s="44">
        <v>234</v>
      </c>
      <c r="H93" s="44">
        <v>208</v>
      </c>
      <c r="I93" s="44">
        <v>197</v>
      </c>
      <c r="J93" s="44">
        <v>237</v>
      </c>
      <c r="K93" s="44">
        <v>198</v>
      </c>
      <c r="L93" s="43">
        <v>231</v>
      </c>
      <c r="M93" s="43">
        <v>178</v>
      </c>
      <c r="N93" s="45">
        <v>2066</v>
      </c>
      <c r="O93" s="46" t="s">
        <v>147</v>
      </c>
    </row>
    <row r="94" spans="1:15" ht="30" customHeight="1" x14ac:dyDescent="0.35">
      <c r="A94" s="3" t="s">
        <v>148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26" x14ac:dyDescent="0.35">
      <c r="A95" s="42" t="s">
        <v>149</v>
      </c>
      <c r="B95" s="43">
        <v>8.3000000000000007</v>
      </c>
      <c r="C95" s="43">
        <v>8.6</v>
      </c>
      <c r="D95" s="43">
        <v>8.4</v>
      </c>
      <c r="E95" s="43">
        <v>7.9</v>
      </c>
      <c r="F95" s="44">
        <v>6.5</v>
      </c>
      <c r="G95" s="44">
        <v>6.2</v>
      </c>
      <c r="H95" s="44">
        <v>6.2</v>
      </c>
      <c r="I95" s="44">
        <v>6.5</v>
      </c>
      <c r="J95" s="44">
        <v>6.7</v>
      </c>
      <c r="K95" s="44">
        <v>7.1</v>
      </c>
      <c r="L95" s="43">
        <v>7.4</v>
      </c>
      <c r="M95" s="43">
        <v>7.9</v>
      </c>
      <c r="N95" s="45">
        <v>7.3</v>
      </c>
      <c r="O95" s="46" t="s">
        <v>150</v>
      </c>
    </row>
    <row r="96" spans="1:15" ht="30" customHeight="1" x14ac:dyDescent="0.35">
      <c r="A96" s="3" t="s">
        <v>151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35">
      <c r="A97" s="42" t="s">
        <v>152</v>
      </c>
      <c r="B97" s="43">
        <v>79</v>
      </c>
      <c r="C97" s="43">
        <v>77</v>
      </c>
      <c r="D97" s="43">
        <v>77</v>
      </c>
      <c r="E97" s="43">
        <v>79</v>
      </c>
      <c r="F97" s="44">
        <v>82</v>
      </c>
      <c r="G97" s="44">
        <v>83</v>
      </c>
      <c r="H97" s="44">
        <v>82</v>
      </c>
      <c r="I97" s="44">
        <v>82</v>
      </c>
      <c r="J97" s="44">
        <v>83</v>
      </c>
      <c r="K97" s="44">
        <v>83</v>
      </c>
      <c r="L97" s="43">
        <v>82</v>
      </c>
      <c r="M97" s="43">
        <v>81</v>
      </c>
      <c r="N97" s="45">
        <v>81</v>
      </c>
      <c r="O97" s="46" t="s">
        <v>153</v>
      </c>
    </row>
    <row r="98" spans="1:15" ht="30" customHeight="1" x14ac:dyDescent="0.35">
      <c r="A98" s="3" t="s">
        <v>154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26" x14ac:dyDescent="0.35">
      <c r="A99" s="42" t="s">
        <v>155</v>
      </c>
      <c r="B99" s="43">
        <v>3.6</v>
      </c>
      <c r="C99" s="43">
        <v>3.5</v>
      </c>
      <c r="D99" s="43">
        <v>3.3</v>
      </c>
      <c r="E99" s="43">
        <v>3.1</v>
      </c>
      <c r="F99" s="44">
        <v>4.2</v>
      </c>
      <c r="G99" s="44">
        <v>5.8</v>
      </c>
      <c r="H99" s="44">
        <v>5.7</v>
      </c>
      <c r="I99" s="44">
        <v>5.4</v>
      </c>
      <c r="J99" s="44">
        <v>4.5</v>
      </c>
      <c r="K99" s="44">
        <v>3.8</v>
      </c>
      <c r="L99" s="43">
        <v>3.4</v>
      </c>
      <c r="M99" s="43">
        <v>3.5</v>
      </c>
      <c r="N99" s="45">
        <v>4.2</v>
      </c>
      <c r="O99" s="46" t="s">
        <v>156</v>
      </c>
    </row>
    <row r="100" spans="1:15" ht="30" customHeight="1" x14ac:dyDescent="0.35">
      <c r="A100" s="3" t="s">
        <v>157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2" spans="1:15" ht="15" customHeight="1" x14ac:dyDescent="0.35">
      <c r="A102" s="2" t="s">
        <v>158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35" customHeight="1" x14ac:dyDescent="0.35">
      <c r="A103" s="41" t="s">
        <v>159</v>
      </c>
      <c r="B103" s="41" t="s">
        <v>160</v>
      </c>
      <c r="C103" s="41" t="s">
        <v>161</v>
      </c>
      <c r="D103" s="41" t="s">
        <v>162</v>
      </c>
      <c r="E103" s="41" t="s">
        <v>163</v>
      </c>
      <c r="F103" s="1" t="s">
        <v>164</v>
      </c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49.5" customHeight="1" x14ac:dyDescent="0.35">
      <c r="A104" s="47" t="s">
        <v>165</v>
      </c>
      <c r="B104" s="47" t="s">
        <v>166</v>
      </c>
      <c r="C104" s="48" t="s">
        <v>167</v>
      </c>
      <c r="D104" s="49" t="s">
        <v>168</v>
      </c>
      <c r="E104" s="58" t="s">
        <v>169</v>
      </c>
      <c r="F104" s="58"/>
      <c r="G104" s="58"/>
      <c r="H104" s="58"/>
      <c r="I104" s="58"/>
      <c r="J104" s="58"/>
      <c r="K104" s="58" t="s">
        <v>170</v>
      </c>
      <c r="L104" s="58"/>
      <c r="M104" s="58"/>
      <c r="N104" s="58"/>
      <c r="O104" s="58"/>
    </row>
    <row r="105" spans="1:15" ht="49.5" customHeight="1" x14ac:dyDescent="0.35">
      <c r="A105" s="50" t="s">
        <v>171</v>
      </c>
      <c r="B105" s="50" t="s">
        <v>172</v>
      </c>
      <c r="C105" s="51" t="s">
        <v>173</v>
      </c>
      <c r="D105" s="52" t="s">
        <v>174</v>
      </c>
      <c r="E105" s="59" t="s">
        <v>175</v>
      </c>
      <c r="F105" s="59"/>
      <c r="G105" s="59"/>
      <c r="H105" s="59"/>
      <c r="I105" s="59"/>
      <c r="J105" s="59"/>
      <c r="K105" s="59" t="s">
        <v>176</v>
      </c>
      <c r="L105" s="59"/>
      <c r="M105" s="59"/>
      <c r="N105" s="59"/>
      <c r="O105" s="59"/>
    </row>
    <row r="106" spans="1:15" ht="49.5" customHeight="1" x14ac:dyDescent="0.35">
      <c r="A106" s="53" t="s">
        <v>177</v>
      </c>
      <c r="B106" s="53" t="s">
        <v>178</v>
      </c>
      <c r="C106" s="54" t="s">
        <v>179</v>
      </c>
      <c r="D106" s="55" t="s">
        <v>180</v>
      </c>
      <c r="E106" s="60" t="s">
        <v>181</v>
      </c>
      <c r="F106" s="60"/>
      <c r="G106" s="60"/>
      <c r="H106" s="60"/>
      <c r="I106" s="60"/>
      <c r="J106" s="60"/>
      <c r="K106" s="60" t="s">
        <v>182</v>
      </c>
      <c r="L106" s="60"/>
      <c r="M106" s="60"/>
      <c r="N106" s="60"/>
      <c r="O106" s="60"/>
    </row>
    <row r="108" spans="1:15" ht="15" customHeight="1" x14ac:dyDescent="0.35">
      <c r="A108" s="2" t="s">
        <v>183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35">
      <c r="A109" s="41" t="s">
        <v>184</v>
      </c>
      <c r="B109" s="1" t="s">
        <v>185</v>
      </c>
      <c r="C109" s="1"/>
      <c r="D109" s="1"/>
      <c r="E109" s="1"/>
      <c r="F109" s="1"/>
      <c r="G109" s="1"/>
      <c r="H109" s="61"/>
      <c r="I109" s="61"/>
      <c r="J109" s="61"/>
      <c r="K109" s="61"/>
      <c r="L109" s="61"/>
      <c r="M109" s="61"/>
      <c r="N109" s="61"/>
      <c r="O109" s="61"/>
    </row>
    <row r="110" spans="1:15" ht="36" customHeight="1" x14ac:dyDescent="0.35">
      <c r="A110" s="56" t="s">
        <v>186</v>
      </c>
      <c r="B110" s="62" t="s">
        <v>187</v>
      </c>
      <c r="C110" s="62"/>
      <c r="D110" s="62"/>
      <c r="E110" s="62"/>
      <c r="F110" s="62"/>
      <c r="G110" s="62"/>
      <c r="H110" s="63" t="s">
        <v>188</v>
      </c>
      <c r="I110" s="63"/>
      <c r="J110" s="63"/>
      <c r="K110" s="63"/>
      <c r="L110" s="63"/>
      <c r="M110" s="63"/>
      <c r="N110" s="63"/>
      <c r="O110" s="63"/>
    </row>
    <row r="111" spans="1:15" ht="36" customHeight="1" x14ac:dyDescent="0.35">
      <c r="A111" s="57" t="s">
        <v>189</v>
      </c>
      <c r="B111" s="62" t="s">
        <v>190</v>
      </c>
      <c r="C111" s="62"/>
      <c r="D111" s="62"/>
      <c r="E111" s="62"/>
      <c r="F111" s="62"/>
      <c r="G111" s="62"/>
      <c r="H111" s="63" t="s">
        <v>191</v>
      </c>
      <c r="I111" s="63"/>
      <c r="J111" s="63"/>
      <c r="K111" s="63"/>
      <c r="L111" s="63"/>
      <c r="M111" s="63"/>
      <c r="N111" s="63"/>
      <c r="O111" s="63"/>
    </row>
    <row r="112" spans="1:15" ht="36" customHeight="1" x14ac:dyDescent="0.35">
      <c r="A112" s="56" t="s">
        <v>192</v>
      </c>
      <c r="B112" s="62" t="s">
        <v>193</v>
      </c>
      <c r="C112" s="62"/>
      <c r="D112" s="62"/>
      <c r="E112" s="62"/>
      <c r="F112" s="62"/>
      <c r="G112" s="62"/>
      <c r="H112" s="63" t="s">
        <v>194</v>
      </c>
      <c r="I112" s="63"/>
      <c r="J112" s="63"/>
      <c r="K112" s="63"/>
      <c r="L112" s="63"/>
      <c r="M112" s="63"/>
      <c r="N112" s="63"/>
      <c r="O112" s="63"/>
    </row>
    <row r="113" spans="1:15" ht="36" customHeight="1" x14ac:dyDescent="0.35">
      <c r="A113" s="57" t="s">
        <v>195</v>
      </c>
      <c r="B113" s="62" t="s">
        <v>196</v>
      </c>
      <c r="C113" s="62"/>
      <c r="D113" s="62"/>
      <c r="E113" s="62"/>
      <c r="F113" s="62"/>
      <c r="G113" s="62"/>
      <c r="H113" s="63" t="s">
        <v>197</v>
      </c>
      <c r="I113" s="63"/>
      <c r="J113" s="63"/>
      <c r="K113" s="63"/>
      <c r="L113" s="63"/>
      <c r="M113" s="63"/>
      <c r="N113" s="63"/>
      <c r="O113" s="63"/>
    </row>
    <row r="114" spans="1:15" ht="36" customHeight="1" x14ac:dyDescent="0.35">
      <c r="A114" s="56" t="s">
        <v>198</v>
      </c>
      <c r="B114" s="62" t="s">
        <v>199</v>
      </c>
      <c r="C114" s="62"/>
      <c r="D114" s="62"/>
      <c r="E114" s="62"/>
      <c r="F114" s="62"/>
      <c r="G114" s="62"/>
      <c r="H114" s="63" t="s">
        <v>200</v>
      </c>
      <c r="I114" s="63"/>
      <c r="J114" s="63"/>
      <c r="K114" s="63"/>
      <c r="L114" s="63"/>
      <c r="M114" s="63"/>
      <c r="N114" s="63"/>
      <c r="O114" s="63"/>
    </row>
  </sheetData>
  <mergeCells count="36">
    <mergeCell ref="B113:G113"/>
    <mergeCell ref="H113:O113"/>
    <mergeCell ref="B114:G114"/>
    <mergeCell ref="H114:O114"/>
    <mergeCell ref="B110:G110"/>
    <mergeCell ref="H110:O110"/>
    <mergeCell ref="B111:G111"/>
    <mergeCell ref="H111:O111"/>
    <mergeCell ref="B112:G112"/>
    <mergeCell ref="H112:O112"/>
    <mergeCell ref="E106:J106"/>
    <mergeCell ref="K106:O106"/>
    <mergeCell ref="A108:O108"/>
    <mergeCell ref="B109:G109"/>
    <mergeCell ref="H109:O109"/>
    <mergeCell ref="A102:O102"/>
    <mergeCell ref="F103:O103"/>
    <mergeCell ref="E104:J104"/>
    <mergeCell ref="K104:O104"/>
    <mergeCell ref="E105:J105"/>
    <mergeCell ref="K105:O105"/>
    <mergeCell ref="A92:O92"/>
    <mergeCell ref="A94:O94"/>
    <mergeCell ref="A96:O96"/>
    <mergeCell ref="A98:O98"/>
    <mergeCell ref="A100:O100"/>
    <mergeCell ref="A85:O85"/>
    <mergeCell ref="B86:E86"/>
    <mergeCell ref="F86:I86"/>
    <mergeCell ref="J86:M86"/>
    <mergeCell ref="A90:O90"/>
    <mergeCell ref="A1:O1"/>
    <mergeCell ref="A2:O2"/>
    <mergeCell ref="A4:O4"/>
    <mergeCell ref="A44:O44"/>
    <mergeCell ref="A84:O8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B3C475-6640-45E0-B044-A449498775E6}">
  <ds:schemaRefs>
    <ds:schemaRef ds:uri="http://schemas.microsoft.com/office/2006/metadata/properties"/>
    <ds:schemaRef ds:uri="http://schemas.microsoft.com/office/infopath/2007/PartnerControls"/>
    <ds:schemaRef ds:uri="ee5d6ee9-6b90-4973-875c-30ee5d95ff57"/>
    <ds:schemaRef ds:uri="a2e62541-ed63-42e0-be49-5b4b52f4e389"/>
  </ds:schemaRefs>
</ds:datastoreItem>
</file>

<file path=customXml/itemProps2.xml><?xml version="1.0" encoding="utf-8"?>
<ds:datastoreItem xmlns:ds="http://schemas.openxmlformats.org/officeDocument/2006/customXml" ds:itemID="{E85FCB54-1B08-4D42-A415-1F64F0B8CF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F7D886-1E35-4621-9962-79AB44FF6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d6ee9-6b90-4973-875c-30ee5d95ff57"/>
    <ds:schemaRef ds:uri="a2e62541-ed63-42e0-be49-5b4b52f4e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 Factors</vt:lpstr>
      <vt:lpstr>Demand Forecasts</vt:lpstr>
      <vt:lpstr>Historical Production</vt:lpstr>
      <vt:lpstr>Seasonality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revision>0</cp:revision>
  <dcterms:created xsi:type="dcterms:W3CDTF">2026-03-10T18:24:29Z</dcterms:created>
  <dcterms:modified xsi:type="dcterms:W3CDTF">2026-03-12T03:08:15Z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