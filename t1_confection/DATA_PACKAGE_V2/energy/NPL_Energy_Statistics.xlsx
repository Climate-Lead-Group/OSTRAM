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tyv\Downloads\"/>
    </mc:Choice>
  </mc:AlternateContent>
  <xr:revisionPtr revIDLastSave="0" documentId="13_ncr:1_{5C619884-3580-4D9D-BB1E-747B2C99FD4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Capacity Factors" sheetId="1" r:id="rId1"/>
    <sheet name="Demand Forecasts" sheetId="2" r:id="rId2"/>
    <sheet name="Historical Production" sheetId="3" r:id="rId3"/>
    <sheet name="Seasonality" sheetId="4" r:id="rId4"/>
    <sheet name="Installed Capacit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4" l="1"/>
  <c r="H32" i="4"/>
  <c r="G32" i="4"/>
  <c r="F32" i="4"/>
  <c r="E32" i="4"/>
  <c r="D32" i="4"/>
  <c r="C32" i="4"/>
  <c r="B32" i="4"/>
  <c r="K16" i="4"/>
  <c r="J16" i="4"/>
  <c r="I16" i="4"/>
  <c r="H16" i="4"/>
  <c r="E16" i="4"/>
  <c r="D16" i="4"/>
  <c r="C16" i="4"/>
  <c r="B16" i="4"/>
  <c r="C42" i="3"/>
  <c r="B42" i="3"/>
  <c r="G34" i="3"/>
  <c r="F34" i="3"/>
  <c r="E34" i="3"/>
  <c r="D34" i="3"/>
  <c r="C34" i="3"/>
  <c r="B34" i="3"/>
  <c r="B18" i="3"/>
  <c r="N19" i="2"/>
  <c r="N18" i="2"/>
  <c r="N17" i="2"/>
</calcChain>
</file>

<file path=xl/sharedStrings.xml><?xml version="1.0" encoding="utf-8"?>
<sst xmlns="http://schemas.openxmlformats.org/spreadsheetml/2006/main" count="355" uniqueCount="217">
  <si>
    <t>NEPAL POWER SECTOR — CAPACITY FACTORS BY TECHNOLOGY</t>
  </si>
  <si>
    <t>Technology</t>
  </si>
  <si>
    <t>Capacity Factor (%)</t>
  </si>
  <si>
    <t>Value Notes</t>
  </si>
  <si>
    <t>Year / Period</t>
  </si>
  <si>
    <t>Source Document</t>
  </si>
  <si>
    <t>Uncertainty Flag</t>
  </si>
  <si>
    <t>Hydro/Marine</t>
  </si>
  <si>
    <t>54%</t>
  </si>
  <si>
    <t>Capacity utilisation calculated as annual generation ÷ year-end capacity × 8,760 h/yr</t>
  </si>
  <si>
    <t>2023</t>
  </si>
  <si>
    <t>IRENA Nepal Energy Profile (Sep 2025), Electricity Capacity section — Capacity utilisation in 2023</t>
  </si>
  <si>
    <t>Solar PV</t>
  </si>
  <si>
    <t>12%</t>
  </si>
  <si>
    <t>Wind</t>
  </si>
  <si>
    <t>20%</t>
  </si>
  <si>
    <t>Bioenergy</t>
  </si>
  <si>
    <t>17%</t>
  </si>
  <si>
    <t>Fossil Fuels</t>
  </si>
  <si>
    <t>0%</t>
  </si>
  <si>
    <t>No fossil fuel generation in Nepal's electricity sector</t>
  </si>
  <si>
    <t>Non-Hydro Renewables (Solar/Wind/Biomass) — modelling assumption</t>
  </si>
  <si>
    <t>16%</t>
  </si>
  <si>
    <t>Assumed capacity factor used in LTS emissions modelling for intermittent renewables</t>
  </si>
  <si>
    <t>2020 model base</t>
  </si>
  <si>
    <t>VRock &amp; Company (Jun 2021), Methodology section — Deriving Energy Balance, p.8</t>
  </si>
  <si>
    <t>Solar PV — Bardiya site (resource range)</t>
  </si>
  <si>
    <t>Nepal receives 3.6–6.2 kWh/m²/day solar radiation; ~300 sunny days/year. No specific CF computed in source.</t>
  </si>
  <si>
    <t>AEPC/NREP ToR — Bardiya Solar PV Feasibility Study, Section 1c Background, p.1</t>
  </si>
  <si>
    <t>Specific CF not stated — resource range only</t>
  </si>
  <si>
    <t>SOURCE CITATIONS: (1) IRENA Nepal Energy Profile, last updated 22 Sep 2025. (2) VRock &amp; Company, Report on Projection of Emission Associated with Electricity Trading as part of Nepal's LTS, Jun 2021. (3) AEPC/NREP Terms of Reference — Conducting Detail Feasibility Study of Utility Scale Grid Connected Solar PV Project at Bardiya, 2021.</t>
  </si>
  <si>
    <t>NEPAL POWER SECTOR — DEMAND FORECASTS</t>
  </si>
  <si>
    <t>A. CAPACITY DEMAND FORECASTS — CES / LTS STUDY (GW Installed)</t>
  </si>
  <si>
    <t>Scenario</t>
  </si>
  <si>
    <t>GDP Growth Assumption</t>
  </si>
  <si>
    <t>2020</t>
  </si>
  <si>
    <t>2025</t>
  </si>
  <si>
    <t>2030</t>
  </si>
  <si>
    <t>2035</t>
  </si>
  <si>
    <t>2040</t>
  </si>
  <si>
    <t>2045</t>
  </si>
  <si>
    <t>2050</t>
  </si>
  <si>
    <t>High Economic Growth</t>
  </si>
  <si>
    <t>10.3%</t>
  </si>
  <si>
    <t>Low Economic Growth</t>
  </si>
  <si>
    <t>4.5%</t>
  </si>
  <si>
    <t>Reference Scenario</t>
  </si>
  <si>
    <t>7.0%</t>
  </si>
  <si>
    <t>WAM Combined (Ref + Additional Measures)</t>
  </si>
  <si>
    <t>WEM Combined (Ref + Existing Measures)</t>
  </si>
  <si>
    <t>B. ENERGY DEMAND FORECASTS — CES / LTS STUDY (TWh)</t>
  </si>
  <si>
    <t>Source</t>
  </si>
  <si>
    <t>WECS / NEA Forecast (Reference)</t>
  </si>
  <si>
    <t>WECS MAED / NEA (matched)</t>
  </si>
  <si>
    <t>⚠ Note: WECS/NEA years are Nepali fiscal years (e.g. 2039/40), shown here as 2040 to align with CES calendar year columns. Source: VRock p.11 Fig 5.</t>
  </si>
  <si>
    <t>CES / LTS Forecast (Reference 7% GDP)</t>
  </si>
  <si>
    <t>CES LTS Study via VRock 2021</t>
  </si>
  <si>
    <t>C. PEAK DEMAND (MW) — NEA YEARLY OPERATIONAL REPORT FY 2079/80 (2022/23)</t>
  </si>
  <si>
    <t>Metric</t>
  </si>
  <si>
    <t>Shrawan</t>
  </si>
  <si>
    <t>Bhadra</t>
  </si>
  <si>
    <t>Ashwin</t>
  </si>
  <si>
    <t>Kartik</t>
  </si>
  <si>
    <t>Mangsir</t>
  </si>
  <si>
    <t>Poush</t>
  </si>
  <si>
    <t>Magh</t>
  </si>
  <si>
    <t>Falgun</t>
  </si>
  <si>
    <t>Chaitra</t>
  </si>
  <si>
    <t>Baisakh</t>
  </si>
  <si>
    <t>Jestha</t>
  </si>
  <si>
    <t>Ashar</t>
  </si>
  <si>
    <t>Annual Max</t>
  </si>
  <si>
    <t>System Peak Demand (MW)</t>
  </si>
  <si>
    <t>National Peak Demand (MW)</t>
  </si>
  <si>
    <t>Energy Requirement (MWh)</t>
  </si>
  <si>
    <t>SOURCE CITATIONS: Sections A &amp; B — VRock &amp; Company (Jun 2021), pp. 14, 11, Figures 7 &amp; 4 (CES/LTS data); Section B also cites WECS/NEA forecast comparison Figure 5. Section C — Nepal Electricity Authority, System Operation Dept., Yearly Operational Report FY 2079/80, Page 1 &amp; 2.</t>
  </si>
  <si>
    <t>NEPAL POWER SECTOR — HISTORICAL ELECTRICITY GENERATION &amp; CONSUMPTION</t>
  </si>
  <si>
    <t>A. ANNUAL ELECTRICITY GENERATION (TWh) — IRENA DATA</t>
  </si>
  <si>
    <t>Year</t>
  </si>
  <si>
    <t>Total (TWh)</t>
  </si>
  <si>
    <t>Hydro &amp; Marine (TWh)</t>
  </si>
  <si>
    <t>Notes / Data Quality</t>
  </si>
  <si>
    <t>Solar (TWh)
[not in IRENA annual table]</t>
  </si>
  <si>
    <t>Wind / Bioenergy / Fossil (TWh)
[not in IRENA annual table]</t>
  </si>
  <si>
    <t>⚠ Approx. — visual chart read from IRENA bar chart; no precise table available</t>
  </si>
  <si>
    <t>—</t>
  </si>
  <si>
    <t>Exact: 11,550 GWh = 11.55 TWh from IRENA 'Generation in 2023' table. Previous value of 12 was chart approximation.</t>
  </si>
  <si>
    <t>B. 2023 GENERATION DETAIL BY SOURCE (GWh) — IRENA</t>
  </si>
  <si>
    <t>Generation (GWh)</t>
  </si>
  <si>
    <t>Share (%)</t>
  </si>
  <si>
    <t>Hydro and Marine</t>
  </si>
  <si>
    <t>99%</t>
  </si>
  <si>
    <t>Solar</t>
  </si>
  <si>
    <t>1%</t>
  </si>
  <si>
    <t>Geothermal</t>
  </si>
  <si>
    <t>Fossil Fuels (Non-Renewable)</t>
  </si>
  <si>
    <t>TOTAL</t>
  </si>
  <si>
    <t>100%</t>
  </si>
  <si>
    <t>C. FY 2079/80 (2022/23) MONTHLY GENERATION BY SOURCE (MWh) — NEA YEARLY OPERATIONAL REPORT</t>
  </si>
  <si>
    <t>Month</t>
  </si>
  <si>
    <t>NEA (MWh)</t>
  </si>
  <si>
    <t>NEA Subsidiary (MWh)</t>
  </si>
  <si>
    <t>IPP (MWh)</t>
  </si>
  <si>
    <t>Import (MWh)</t>
  </si>
  <si>
    <t>Total Available (MWh)</t>
  </si>
  <si>
    <t>Energy Export (MWh)</t>
  </si>
  <si>
    <t>D. FINAL ENERGY CONSUMPTION BY SECTOR (TJ) — IRENA</t>
  </si>
  <si>
    <t>Sector</t>
  </si>
  <si>
    <t>2017 (TJ)</t>
  </si>
  <si>
    <t>2022 (TJ)</t>
  </si>
  <si>
    <t>Industry</t>
  </si>
  <si>
    <t>Transport</t>
  </si>
  <si>
    <t>Households</t>
  </si>
  <si>
    <t>Other</t>
  </si>
  <si>
    <t>SOURCE CITATIONS: Section A — IRENA Nepal Energy Profile (Sep 2025), Electricity Generation section (generation trend chart, TWh values read). Section B — IRENA Nepal Energy Profile (Sep 2025), 'Generation in 2023' table. Section C — NEA System Operation Dept., Yearly Operational Report FY 2079/80, Page 1 'Monthly Energy Values' table. Section D — IRENA Nepal Energy Profile (Sep 2025), 'Consumption by sector' table.</t>
  </si>
  <si>
    <t>NEPAL POWER SECTOR — SEASONALITY (Monthly Generation, Demand &amp; Cross-Border Exchange)</t>
  </si>
  <si>
    <t>A. FY 2079/80 MONTHLY ENERGY VALUES (MWh) — NEA YEARLY OPERATIONAL REPORT</t>
  </si>
  <si>
    <t>NEA Gen (MWh)</t>
  </si>
  <si>
    <t>IPP Gen (MWh)</t>
  </si>
  <si>
    <t>Net Energy Met (MWh)</t>
  </si>
  <si>
    <t>Energy Interruption (MWh)</t>
  </si>
  <si>
    <t>Energy Deficit (MWh)</t>
  </si>
  <si>
    <t>TOTAL / ANNUAL</t>
  </si>
  <si>
    <t>B. FY 2079/80 MONTHLY PEAK DEMAND &amp; CROSS-BORDER EXCHANGE (MW) — NEA YEARLY OPERATIONAL REPORT</t>
  </si>
  <si>
    <t>Generation (MW)</t>
  </si>
  <si>
    <t>Import (MW)</t>
  </si>
  <si>
    <t>Recorded Peak Availability (MW)</t>
  </si>
  <si>
    <t>Export (MW)</t>
  </si>
  <si>
    <t>Demand Met at Peak (MW)</t>
  </si>
  <si>
    <t>Interruption (MW)</t>
  </si>
  <si>
    <t>Net Exchange India (MW: + import / - export)</t>
  </si>
  <si>
    <t>MAXIMUM</t>
  </si>
  <si>
    <t>SOURCE CITATIONS: Both sections — Nepal Electricity Authority, System Operation Department, Yearly Operational Report of Nepal for FY 2079/80 (provisional figures). Page 1: 'Monthly Energy Values' table. Page 2: 'Demand and Cross Border Exchange at Peak Time' table. Note: Nepali fiscal year 2079/80 corresponds approximately to mid-2022 to mid-2023.</t>
  </si>
  <si>
    <t>C. NEPALI MONTH CALENDAR EQUIVALENTS &amp; CLIMATE PATTERN</t>
  </si>
  <si>
    <t>Nepali Month</t>
  </si>
  <si>
    <t>Gregorian Equivalent</t>
  </si>
  <si>
    <t>Season (Nepal)</t>
  </si>
  <si>
    <t>Climate Pattern</t>
  </si>
  <si>
    <t>Hydro Generation</t>
  </si>
  <si>
    <t>Grid Role</t>
  </si>
  <si>
    <t>Mid-Jul – Mid-Aug</t>
  </si>
  <si>
    <t>Monsoon</t>
  </si>
  <si>
    <t>Peak monsoon — heavy rainfall, high river flow</t>
  </si>
  <si>
    <t>High</t>
  </si>
  <si>
    <t>Net exporter to India</t>
  </si>
  <si>
    <t>Mid-Aug – Mid-Sep</t>
  </si>
  <si>
    <t>Mid-Sep – Mid-Oct</t>
  </si>
  <si>
    <t>Post-Monsoon</t>
  </si>
  <si>
    <t>Monsoon retreating — rivers still high</t>
  </si>
  <si>
    <t>Mid-Oct – Mid-Nov</t>
  </si>
  <si>
    <t>Dry season begins — river flow declining</t>
  </si>
  <si>
    <t>Moderate</t>
  </si>
  <si>
    <t>Mid-Nov – Mid-Dec</t>
  </si>
  <si>
    <t>Winter</t>
  </si>
  <si>
    <t>Dry and cold — snowfall in high mountains, low river flow</t>
  </si>
  <si>
    <t>Mid-Dec – Mid-Jan</t>
  </si>
  <si>
    <t>Dry and cold — minimum river flow</t>
  </si>
  <si>
    <t>Low</t>
  </si>
  <si>
    <t>Near-balanced / slight import</t>
  </si>
  <si>
    <t>Mid-Jan – Mid-Feb</t>
  </si>
  <si>
    <t>Driest month — minimum river flow</t>
  </si>
  <si>
    <t>Net importer from India</t>
  </si>
  <si>
    <t>Mid-Feb – Mid-Mar</t>
  </si>
  <si>
    <t>Spring</t>
  </si>
  <si>
    <t>Warming begins — rivers still low</t>
  </si>
  <si>
    <t>Mid-Mar – Mid-Apr</t>
  </si>
  <si>
    <t>Pre-monsoon warming — snowmelt starts</t>
  </si>
  <si>
    <t>Mid-Apr – Mid-May</t>
  </si>
  <si>
    <t>Pre-Monsoon</t>
  </si>
  <si>
    <t>Hot and dry — snowmelt increasing river flow gradually</t>
  </si>
  <si>
    <t>Mid-May – Mid-Jun</t>
  </si>
  <si>
    <t>Pre-monsoon heat — river flow rising from snowmelt</t>
  </si>
  <si>
    <t>Near-balanced / slight export</t>
  </si>
  <si>
    <t>Mid-Jun – Mid-Jul</t>
  </si>
  <si>
    <t>Monsoon onset — river flow rising rapidly</t>
  </si>
  <si>
    <t>NOTE: Gregorian equivalents and climate pattern descriptions are contextual reference — not extracted from the uploaded source documents. Grid role (exporter/importer) is inferred from NEA FY 2079/80 operational data in Section A above.</t>
  </si>
  <si>
    <t>NEPAL POWER SECTOR — INSTALLED ELECTRICITY CAPACITY</t>
  </si>
  <si>
    <t>A. INSTALLED CAPACITY BY TECHNOLOGY (GW) — IRENA</t>
  </si>
  <si>
    <t>Technology / Year</t>
  </si>
  <si>
    <t>2017</t>
  </si>
  <si>
    <t>2018</t>
  </si>
  <si>
    <t>2019</t>
  </si>
  <si>
    <t>2021</t>
  </si>
  <si>
    <t>2022</t>
  </si>
  <si>
    <t>2024</t>
  </si>
  <si>
    <t>Total Installed (GW)</t>
  </si>
  <si>
    <t>Renewable Share (%)</t>
  </si>
  <si>
    <t>98%</t>
  </si>
  <si>
    <t>Breakdown by technology (GW)</t>
  </si>
  <si>
    <t>No per-technology annual breakdown table in IRENA source — only 2024 net change and 2024 mix % are provided</t>
  </si>
  <si>
    <t>⚠ DATA QUALITY NOTE</t>
  </si>
  <si>
    <t>Row 'Total Installed (GW)' values are approximate visual reads from IRENA bar chart. No precise year-by-year table is provided in source. IRENA only provides exact values for 2024 net capacity changes. Yellow cells = chart-estimated values. Use with caution.</t>
  </si>
  <si>
    <t>B. 2024 CAPACITY CHANGE AND MIX DETAIL — IRENA</t>
  </si>
  <si>
    <t>Value</t>
  </si>
  <si>
    <t>Net Capacity Change 2024 (MW) — Hydro</t>
  </si>
  <si>
    <t>+618 MW</t>
  </si>
  <si>
    <t>Net Capacity Change 2024 (MW) — Solar</t>
  </si>
  <si>
    <t>+59 MW</t>
  </si>
  <si>
    <t>Net Capacity Change 2024 (MW) — Wind</t>
  </si>
  <si>
    <t>0</t>
  </si>
  <si>
    <t>Net Capacity Change 2024 (MW) — Bioenergy</t>
  </si>
  <si>
    <t>Net Capacity Change 2024 (MW) — Non-Renewable</t>
  </si>
  <si>
    <t>Renewable Capacity Share 2024 — Hydro/Marine</t>
  </si>
  <si>
    <t>95%</t>
  </si>
  <si>
    <t>Renewable Capacity Share 2024 — Solar</t>
  </si>
  <si>
    <t>5%</t>
  </si>
  <si>
    <t>C. TOTAL ENERGY SUPPLY (TES) — IRENA</t>
  </si>
  <si>
    <t>Non-Renewable TES (TJ)</t>
  </si>
  <si>
    <t>Renewable TES (TJ)</t>
  </si>
  <si>
    <t>Total TES (TJ)</t>
  </si>
  <si>
    <t>78%</t>
  </si>
  <si>
    <t>70%</t>
  </si>
  <si>
    <t>Energy Self-Sufficiency (%)</t>
  </si>
  <si>
    <t>77%</t>
  </si>
  <si>
    <t>Imports (TJ)</t>
  </si>
  <si>
    <t>Exports (TJ)</t>
  </si>
  <si>
    <t>SOURCE CITATIONS: Sections A &amp; B — IRENA Nepal Energy Profile (Sep 2025), Electricity Capacity section, 'Installed capacity trend' chart and 'Net capacity change in 2024 (MW)' table, 'Renewable capacity in 2024' chart. Section C — IRENA Nepal Energy Profile (Sep 2025), 'Total Energy Supply (TES)' and 'Primary energy trade'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</si>
</sst>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i/>
      <sz val="10"/>
      <name val="Arial"/>
    </font>
    <font>
      <i/>
      <sz val="9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0000"/>
      <name val="Arial"/>
    </font>
    <font>
      <b/>
      <sz val="10"/>
      <name val="Arial"/>
    </font>
    <font>
      <i/>
      <sz val="9"/>
      <color rgb="FF808080"/>
      <name val="Arial"/>
    </font>
    <font>
      <b/>
      <sz val="9"/>
      <color rgb="FFFFFFFF"/>
      <name val="Arial"/>
    </font>
    <font>
      <sz val="10"/>
      <color rgb="FFAAAAAA"/>
      <name val="Arial"/>
    </font>
    <font>
      <i/>
      <sz val="9"/>
      <color rgb="FF595959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0" fillId="10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wrapText="1"/>
    </xf>
    <xf numFmtId="0" fontId="9" fillId="9" borderId="0" xfId="0" applyFont="1" applyFill="1" applyAlignment="1">
      <alignment horizontal="center"/>
    </xf>
    <xf numFmtId="0" fontId="8" fillId="4" borderId="0" xfId="0" applyFont="1" applyFill="1" applyAlignment="1">
      <alignment wrapText="1"/>
    </xf>
    <xf numFmtId="0" fontId="12" fillId="0" borderId="1" xfId="0" applyFont="1" applyBorder="1" applyAlignment="1">
      <alignment horizontal="center"/>
    </xf>
    <xf numFmtId="0" fontId="11" fillId="0" borderId="0" xfId="0" applyFont="1"/>
    <xf numFmtId="0" fontId="12" fillId="9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4" fillId="10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7" fillId="5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left" vertical="center" wrapText="1"/>
    </xf>
    <xf numFmtId="0" fontId="9" fillId="16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left" vertical="center" wrapText="1"/>
    </xf>
    <xf numFmtId="0" fontId="9" fillId="1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vertical="top" wrapText="1"/>
    </xf>
    <xf numFmtId="0" fontId="10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wrapText="1"/>
    </xf>
    <xf numFmtId="0" fontId="13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18" customWidth="1"/>
    <col min="3" max="3" width="40" customWidth="1"/>
    <col min="4" max="4" width="20" customWidth="1"/>
    <col min="5" max="5" width="45" customWidth="1"/>
    <col min="6" max="6" width="30" customWidth="1"/>
  </cols>
  <sheetData>
    <row r="1" spans="1:6" ht="27.75" customHeight="1" x14ac:dyDescent="0.3">
      <c r="A1" s="47" t="s">
        <v>0</v>
      </c>
      <c r="B1" s="46"/>
      <c r="C1" s="46"/>
      <c r="D1" s="46"/>
      <c r="E1" s="46"/>
      <c r="F1" s="46"/>
    </row>
    <row r="2" spans="1:6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3.85" customHeight="1" x14ac:dyDescent="0.3">
      <c r="A3" s="2" t="s">
        <v>7</v>
      </c>
      <c r="B3" s="3" t="s">
        <v>8</v>
      </c>
      <c r="C3" s="4" t="s">
        <v>9</v>
      </c>
      <c r="D3" s="3" t="s">
        <v>10</v>
      </c>
      <c r="E3" s="4" t="s">
        <v>11</v>
      </c>
      <c r="F3" s="2"/>
    </row>
    <row r="4" spans="1:6" ht="23.85" customHeight="1" x14ac:dyDescent="0.3">
      <c r="A4" s="5" t="s">
        <v>12</v>
      </c>
      <c r="B4" s="6" t="s">
        <v>13</v>
      </c>
      <c r="C4" s="7" t="s">
        <v>9</v>
      </c>
      <c r="D4" s="6" t="s">
        <v>10</v>
      </c>
      <c r="E4" s="7" t="s">
        <v>11</v>
      </c>
      <c r="F4" s="5"/>
    </row>
    <row r="5" spans="1:6" ht="23.85" customHeight="1" x14ac:dyDescent="0.3">
      <c r="A5" s="2" t="s">
        <v>14</v>
      </c>
      <c r="B5" s="3" t="s">
        <v>15</v>
      </c>
      <c r="C5" s="4" t="s">
        <v>9</v>
      </c>
      <c r="D5" s="3" t="s">
        <v>10</v>
      </c>
      <c r="E5" s="4" t="s">
        <v>11</v>
      </c>
      <c r="F5" s="2"/>
    </row>
    <row r="6" spans="1:6" ht="23.85" customHeight="1" x14ac:dyDescent="0.3">
      <c r="A6" s="5" t="s">
        <v>16</v>
      </c>
      <c r="B6" s="6" t="s">
        <v>17</v>
      </c>
      <c r="C6" s="7" t="s">
        <v>9</v>
      </c>
      <c r="D6" s="6" t="s">
        <v>10</v>
      </c>
      <c r="E6" s="7" t="s">
        <v>11</v>
      </c>
      <c r="F6" s="5"/>
    </row>
    <row r="7" spans="1:6" ht="23.85" customHeight="1" x14ac:dyDescent="0.3">
      <c r="A7" s="2" t="s">
        <v>18</v>
      </c>
      <c r="B7" s="3" t="s">
        <v>19</v>
      </c>
      <c r="C7" s="4" t="s">
        <v>20</v>
      </c>
      <c r="D7" s="3" t="s">
        <v>10</v>
      </c>
      <c r="E7" s="4" t="s">
        <v>11</v>
      </c>
      <c r="F7" s="2"/>
    </row>
    <row r="8" spans="1:6" ht="23.85" customHeight="1" x14ac:dyDescent="0.3">
      <c r="A8" s="5" t="s">
        <v>21</v>
      </c>
      <c r="B8" s="6" t="s">
        <v>22</v>
      </c>
      <c r="C8" s="7" t="s">
        <v>23</v>
      </c>
      <c r="D8" s="6" t="s">
        <v>24</v>
      </c>
      <c r="E8" s="7" t="s">
        <v>25</v>
      </c>
      <c r="F8" s="5"/>
    </row>
    <row r="9" spans="1:6" ht="35.1" customHeight="1" x14ac:dyDescent="0.3">
      <c r="A9" s="2" t="s">
        <v>26</v>
      </c>
      <c r="B9" s="3"/>
      <c r="C9" s="4" t="s">
        <v>27</v>
      </c>
      <c r="D9" s="3"/>
      <c r="E9" s="4" t="s">
        <v>28</v>
      </c>
      <c r="F9" s="8" t="s">
        <v>29</v>
      </c>
    </row>
    <row r="11" spans="1:6" ht="45" customHeight="1" x14ac:dyDescent="0.3">
      <c r="A11" s="45" t="s">
        <v>30</v>
      </c>
      <c r="B11" s="46"/>
      <c r="C11" s="46"/>
      <c r="D11" s="46"/>
      <c r="E11" s="46"/>
      <c r="F11" s="46"/>
    </row>
  </sheetData>
  <mergeCells count="2">
    <mergeCell ref="A11:F1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zoomScaleNormal="100" workbookViewId="0"/>
  </sheetViews>
  <sheetFormatPr baseColWidth="10" defaultColWidth="8.6640625" defaultRowHeight="14.4" x14ac:dyDescent="0.3"/>
  <cols>
    <col min="1" max="1" width="38" customWidth="1"/>
    <col min="2" max="9" width="18" customWidth="1"/>
    <col min="10" max="10" width="45" customWidth="1"/>
  </cols>
  <sheetData>
    <row r="1" spans="1:14" ht="27.75" customHeight="1" x14ac:dyDescent="0.3">
      <c r="A1" s="47" t="s">
        <v>31</v>
      </c>
      <c r="B1" s="46"/>
      <c r="C1" s="46"/>
      <c r="D1" s="46"/>
      <c r="E1" s="46"/>
      <c r="F1" s="46"/>
      <c r="G1" s="46"/>
      <c r="H1" s="46"/>
      <c r="I1" s="46"/>
    </row>
    <row r="2" spans="1:14" ht="21.75" customHeight="1" x14ac:dyDescent="0.3">
      <c r="A2" s="48" t="s">
        <v>32</v>
      </c>
      <c r="B2" s="46"/>
      <c r="C2" s="46"/>
      <c r="D2" s="46"/>
      <c r="E2" s="46"/>
      <c r="F2" s="46"/>
      <c r="G2" s="46"/>
      <c r="H2" s="46"/>
      <c r="I2" s="46"/>
    </row>
    <row r="3" spans="1:14" ht="23.85" customHeight="1" x14ac:dyDescent="0.3">
      <c r="A3" s="9" t="s">
        <v>33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41</v>
      </c>
    </row>
    <row r="4" spans="1:14" ht="15" customHeight="1" x14ac:dyDescent="0.3">
      <c r="A4" s="10" t="s">
        <v>42</v>
      </c>
      <c r="B4" s="10" t="s">
        <v>43</v>
      </c>
      <c r="C4" s="11">
        <v>2.2629999999999999</v>
      </c>
      <c r="D4" s="11">
        <v>2.9809999999999999</v>
      </c>
      <c r="E4" s="11">
        <v>4.2610000000000001</v>
      </c>
      <c r="F4" s="11">
        <v>6.181</v>
      </c>
      <c r="G4" s="11">
        <v>9.0210000000000008</v>
      </c>
      <c r="H4" s="11">
        <v>13.481</v>
      </c>
      <c r="I4" s="11">
        <v>20.481000000000002</v>
      </c>
    </row>
    <row r="5" spans="1:14" ht="15" customHeight="1" x14ac:dyDescent="0.3">
      <c r="A5" s="12" t="s">
        <v>44</v>
      </c>
      <c r="B5" s="12" t="s">
        <v>45</v>
      </c>
      <c r="C5" s="13">
        <v>2.2629999999999999</v>
      </c>
      <c r="D5" s="13">
        <v>2.7210000000000001</v>
      </c>
      <c r="E5" s="13">
        <v>3.2610000000000001</v>
      </c>
      <c r="F5" s="13">
        <v>3.9009999999999998</v>
      </c>
      <c r="G5" s="13">
        <v>4.5010000000000003</v>
      </c>
      <c r="H5" s="13">
        <v>5.181</v>
      </c>
      <c r="I5" s="13">
        <v>6.0010000000000003</v>
      </c>
    </row>
    <row r="6" spans="1:14" ht="15" customHeight="1" x14ac:dyDescent="0.3">
      <c r="A6" s="10" t="s">
        <v>46</v>
      </c>
      <c r="B6" s="10" t="s">
        <v>47</v>
      </c>
      <c r="C6" s="11">
        <v>2.2629999999999999</v>
      </c>
      <c r="D6" s="11">
        <v>2.8010000000000002</v>
      </c>
      <c r="E6" s="11">
        <v>3.641</v>
      </c>
      <c r="F6" s="11">
        <v>4.681</v>
      </c>
      <c r="G6" s="11">
        <v>5.9210000000000003</v>
      </c>
      <c r="H6" s="11">
        <v>7.5810000000000004</v>
      </c>
      <c r="I6" s="11">
        <v>9.7609999999999992</v>
      </c>
    </row>
    <row r="7" spans="1:14" ht="15" customHeight="1" x14ac:dyDescent="0.3">
      <c r="A7" s="12" t="s">
        <v>48</v>
      </c>
      <c r="B7" s="12" t="s">
        <v>47</v>
      </c>
      <c r="C7" s="13">
        <v>2.2629999999999999</v>
      </c>
      <c r="D7" s="13">
        <v>7.5209999999999999</v>
      </c>
      <c r="E7" s="13">
        <v>14.621</v>
      </c>
      <c r="F7" s="13">
        <v>20.140999999999998</v>
      </c>
      <c r="G7" s="13">
        <v>26.501000000000001</v>
      </c>
      <c r="H7" s="13">
        <v>34.720999999999997</v>
      </c>
      <c r="I7" s="13">
        <v>45.401000000000003</v>
      </c>
    </row>
    <row r="8" spans="1:14" ht="15" customHeight="1" x14ac:dyDescent="0.3">
      <c r="A8" s="10" t="s">
        <v>49</v>
      </c>
      <c r="B8" s="10" t="s">
        <v>47</v>
      </c>
      <c r="C8" s="11">
        <v>2.2629999999999999</v>
      </c>
      <c r="D8" s="11">
        <v>7.3010000000000002</v>
      </c>
      <c r="E8" s="11">
        <v>14.321</v>
      </c>
      <c r="F8" s="11">
        <v>18.501000000000001</v>
      </c>
      <c r="G8" s="11">
        <v>23.100999999999999</v>
      </c>
      <c r="H8" s="11">
        <v>29.161000000000001</v>
      </c>
      <c r="I8" s="11">
        <v>37.241</v>
      </c>
    </row>
    <row r="10" spans="1:14" ht="15" customHeight="1" x14ac:dyDescent="0.3">
      <c r="A10" s="48" t="s">
        <v>50</v>
      </c>
      <c r="B10" s="46"/>
      <c r="C10" s="46"/>
      <c r="D10" s="46"/>
      <c r="E10" s="46"/>
      <c r="F10" s="46"/>
      <c r="G10" s="46"/>
      <c r="H10" s="46"/>
      <c r="I10" s="46"/>
    </row>
    <row r="11" spans="1:14" ht="15" customHeight="1" x14ac:dyDescent="0.3">
      <c r="A11" s="9" t="s">
        <v>33</v>
      </c>
      <c r="B11" s="9" t="s">
        <v>51</v>
      </c>
      <c r="C11" s="9" t="s">
        <v>35</v>
      </c>
      <c r="D11" s="9" t="s">
        <v>36</v>
      </c>
      <c r="E11" s="9" t="s">
        <v>37</v>
      </c>
      <c r="F11" s="9" t="s">
        <v>38</v>
      </c>
      <c r="G11" s="9" t="s">
        <v>39</v>
      </c>
      <c r="H11" s="9" t="s">
        <v>40</v>
      </c>
      <c r="I11" s="9" t="s">
        <v>41</v>
      </c>
    </row>
    <row r="12" spans="1:14" ht="34.950000000000003" customHeight="1" x14ac:dyDescent="0.3">
      <c r="A12" s="10" t="s">
        <v>52</v>
      </c>
      <c r="B12" s="10" t="s">
        <v>53</v>
      </c>
      <c r="C12" s="11">
        <v>10.14</v>
      </c>
      <c r="D12" s="11">
        <v>18.579999999999998</v>
      </c>
      <c r="E12" s="11">
        <v>31.2</v>
      </c>
      <c r="F12" s="11">
        <v>50.89</v>
      </c>
      <c r="G12" s="11">
        <v>82.62</v>
      </c>
      <c r="H12" s="11"/>
      <c r="I12" s="11"/>
      <c r="J12" s="23" t="s">
        <v>54</v>
      </c>
    </row>
    <row r="13" spans="1:14" ht="15" customHeight="1" x14ac:dyDescent="0.3">
      <c r="A13" s="12" t="s">
        <v>55</v>
      </c>
      <c r="B13" s="12" t="s">
        <v>56</v>
      </c>
      <c r="C13" s="13">
        <v>8.23</v>
      </c>
      <c r="D13" s="13">
        <v>10.41</v>
      </c>
      <c r="E13" s="13">
        <v>13.54</v>
      </c>
      <c r="F13" s="13">
        <v>17.52</v>
      </c>
      <c r="G13" s="13">
        <v>22.15</v>
      </c>
      <c r="H13" s="13">
        <v>28.29</v>
      </c>
      <c r="I13" s="13">
        <v>36.39</v>
      </c>
    </row>
    <row r="15" spans="1:14" ht="15" customHeight="1" x14ac:dyDescent="0.3">
      <c r="A15" s="48" t="s">
        <v>57</v>
      </c>
      <c r="B15" s="46"/>
      <c r="C15" s="46"/>
      <c r="D15" s="46"/>
      <c r="E15" s="46"/>
      <c r="F15" s="46"/>
      <c r="G15" s="46"/>
      <c r="H15" s="46"/>
      <c r="I15" s="46"/>
    </row>
    <row r="16" spans="1:14" ht="23.85" customHeight="1" x14ac:dyDescent="0.3">
      <c r="A16" s="9" t="s">
        <v>58</v>
      </c>
      <c r="B16" s="9" t="s">
        <v>59</v>
      </c>
      <c r="C16" s="9" t="s">
        <v>60</v>
      </c>
      <c r="D16" s="9" t="s">
        <v>61</v>
      </c>
      <c r="E16" s="9" t="s">
        <v>62</v>
      </c>
      <c r="F16" s="9" t="s">
        <v>63</v>
      </c>
      <c r="G16" s="9" t="s">
        <v>64</v>
      </c>
      <c r="H16" s="9" t="s">
        <v>65</v>
      </c>
      <c r="I16" s="9" t="s">
        <v>66</v>
      </c>
      <c r="J16" s="9" t="s">
        <v>67</v>
      </c>
      <c r="K16" s="9" t="s">
        <v>68</v>
      </c>
      <c r="L16" s="9" t="s">
        <v>69</v>
      </c>
      <c r="M16" s="9" t="s">
        <v>70</v>
      </c>
      <c r="N16" s="9" t="s">
        <v>71</v>
      </c>
    </row>
    <row r="17" spans="1:15" ht="15" customHeight="1" x14ac:dyDescent="0.3">
      <c r="A17" s="12" t="s">
        <v>72</v>
      </c>
      <c r="B17" s="13">
        <v>1968</v>
      </c>
      <c r="C17" s="13">
        <v>2007</v>
      </c>
      <c r="D17" s="13">
        <v>1961</v>
      </c>
      <c r="E17" s="13">
        <v>1774</v>
      </c>
      <c r="F17" s="13">
        <v>1729</v>
      </c>
      <c r="G17" s="13">
        <v>1840</v>
      </c>
      <c r="H17" s="13">
        <v>1796</v>
      </c>
      <c r="I17" s="13">
        <v>1697</v>
      </c>
      <c r="J17" s="13">
        <v>1815</v>
      </c>
      <c r="K17" s="13">
        <v>1939</v>
      </c>
      <c r="L17" s="13">
        <v>2066</v>
      </c>
      <c r="M17" s="13">
        <v>2171</v>
      </c>
      <c r="N17" s="28">
        <f>MAX(B17:M17)</f>
        <v>2171</v>
      </c>
      <c r="O17" s="13"/>
    </row>
    <row r="18" spans="1:15" ht="15" customHeight="1" x14ac:dyDescent="0.3">
      <c r="A18" s="10" t="s">
        <v>73</v>
      </c>
      <c r="B18" s="11">
        <v>1754</v>
      </c>
      <c r="C18" s="11">
        <v>1815</v>
      </c>
      <c r="D18" s="11">
        <v>1757</v>
      </c>
      <c r="E18" s="11">
        <v>1465</v>
      </c>
      <c r="F18" s="11">
        <v>1595</v>
      </c>
      <c r="G18" s="11">
        <v>1840</v>
      </c>
      <c r="H18" s="11">
        <v>1796</v>
      </c>
      <c r="I18" s="11">
        <v>1697</v>
      </c>
      <c r="J18" s="11">
        <v>1815</v>
      </c>
      <c r="K18" s="11">
        <v>1939</v>
      </c>
      <c r="L18" s="11">
        <v>1986</v>
      </c>
      <c r="M18" s="11">
        <v>1948</v>
      </c>
      <c r="N18" s="29">
        <f>MAX(B18:M18)</f>
        <v>1986</v>
      </c>
      <c r="O18" s="11"/>
    </row>
    <row r="19" spans="1:15" ht="15" customHeight="1" x14ac:dyDescent="0.3">
      <c r="A19" s="12" t="s">
        <v>74</v>
      </c>
      <c r="B19" s="13">
        <v>1050516</v>
      </c>
      <c r="C19" s="13">
        <v>1063916</v>
      </c>
      <c r="D19" s="13">
        <v>909215</v>
      </c>
      <c r="E19" s="13">
        <v>722161</v>
      </c>
      <c r="F19" s="13">
        <v>758817</v>
      </c>
      <c r="G19" s="13">
        <v>915899</v>
      </c>
      <c r="H19" s="13">
        <v>863713</v>
      </c>
      <c r="I19" s="13">
        <v>873946</v>
      </c>
      <c r="J19" s="13">
        <v>919505</v>
      </c>
      <c r="K19" s="13">
        <v>1083243</v>
      </c>
      <c r="L19" s="13">
        <v>1192055</v>
      </c>
      <c r="M19" s="13">
        <v>1194451</v>
      </c>
      <c r="N19" s="28">
        <f>MAX(B19:M19)</f>
        <v>1194451</v>
      </c>
      <c r="O19" s="13"/>
    </row>
    <row r="22" spans="1:15" ht="45" customHeight="1" x14ac:dyDescent="0.3">
      <c r="A22" s="45" t="s">
        <v>75</v>
      </c>
      <c r="B22" s="46"/>
      <c r="C22" s="46"/>
      <c r="D22" s="46"/>
      <c r="E22" s="46"/>
      <c r="F22" s="46"/>
      <c r="G22" s="46"/>
      <c r="H22" s="46"/>
      <c r="I22" s="46"/>
    </row>
  </sheetData>
  <mergeCells count="5">
    <mergeCell ref="A15:I15"/>
    <mergeCell ref="A2:I2"/>
    <mergeCell ref="A10:I10"/>
    <mergeCell ref="A1:I1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topLeftCell="A25" zoomScaleNormal="100" workbookViewId="0">
      <selection activeCell="D8" sqref="D8"/>
    </sheetView>
  </sheetViews>
  <sheetFormatPr baseColWidth="10" defaultColWidth="8.6640625" defaultRowHeight="14.4" x14ac:dyDescent="0.3"/>
  <cols>
    <col min="1" max="1" width="28" customWidth="1"/>
    <col min="2" max="3" width="22" customWidth="1"/>
    <col min="4" max="4" width="59.44140625" bestFit="1" customWidth="1"/>
    <col min="5" max="5" width="22" customWidth="1"/>
    <col min="6" max="6" width="28" customWidth="1"/>
    <col min="7" max="7" width="22" customWidth="1"/>
  </cols>
  <sheetData>
    <row r="1" spans="1:7" ht="27.75" customHeight="1" x14ac:dyDescent="0.3">
      <c r="A1" s="47" t="s">
        <v>76</v>
      </c>
      <c r="B1" s="46"/>
      <c r="C1" s="46"/>
      <c r="D1" s="46"/>
      <c r="E1" s="46"/>
      <c r="F1" s="46"/>
      <c r="G1" s="46"/>
    </row>
    <row r="2" spans="1:7" ht="15" customHeight="1" x14ac:dyDescent="0.3">
      <c r="A2" s="48" t="s">
        <v>77</v>
      </c>
      <c r="B2" s="46"/>
      <c r="C2" s="46"/>
      <c r="D2" s="46"/>
      <c r="E2" s="46"/>
      <c r="F2" s="46"/>
      <c r="G2" s="46"/>
    </row>
    <row r="3" spans="1:7" ht="15" customHeight="1" x14ac:dyDescent="0.3">
      <c r="A3" s="9" t="s">
        <v>78</v>
      </c>
      <c r="B3" s="9" t="s">
        <v>79</v>
      </c>
      <c r="C3" s="9" t="s">
        <v>80</v>
      </c>
      <c r="D3" s="21" t="s">
        <v>81</v>
      </c>
      <c r="E3" s="30" t="s">
        <v>82</v>
      </c>
      <c r="F3" s="30" t="s">
        <v>83</v>
      </c>
      <c r="G3" s="9"/>
    </row>
    <row r="4" spans="1:7" ht="15" customHeight="1" x14ac:dyDescent="0.3">
      <c r="A4" s="10">
        <v>2018</v>
      </c>
      <c r="B4" s="22">
        <v>5</v>
      </c>
      <c r="C4" s="22">
        <v>5</v>
      </c>
      <c r="D4" s="23" t="s">
        <v>84</v>
      </c>
      <c r="E4" s="31" t="s">
        <v>85</v>
      </c>
      <c r="F4" s="31" t="s">
        <v>85</v>
      </c>
      <c r="G4" s="11"/>
    </row>
    <row r="5" spans="1:7" ht="15" customHeight="1" x14ac:dyDescent="0.3">
      <c r="A5" s="12">
        <v>2019</v>
      </c>
      <c r="B5" s="22">
        <v>6</v>
      </c>
      <c r="C5" s="22">
        <v>6</v>
      </c>
      <c r="D5" s="23" t="s">
        <v>84</v>
      </c>
      <c r="E5" s="32" t="s">
        <v>85</v>
      </c>
      <c r="F5" s="32" t="s">
        <v>85</v>
      </c>
      <c r="G5" s="13"/>
    </row>
    <row r="6" spans="1:7" ht="15" customHeight="1" x14ac:dyDescent="0.3">
      <c r="A6" s="10">
        <v>2020</v>
      </c>
      <c r="B6" s="22">
        <v>6</v>
      </c>
      <c r="C6" s="22">
        <v>6</v>
      </c>
      <c r="D6" s="23" t="s">
        <v>84</v>
      </c>
      <c r="E6" s="31" t="s">
        <v>85</v>
      </c>
      <c r="F6" s="31" t="s">
        <v>85</v>
      </c>
      <c r="G6" s="11"/>
    </row>
    <row r="7" spans="1:7" ht="15" customHeight="1" x14ac:dyDescent="0.3">
      <c r="A7" s="12">
        <v>2021</v>
      </c>
      <c r="B7" s="22">
        <v>8</v>
      </c>
      <c r="C7" s="22">
        <v>8</v>
      </c>
      <c r="D7" s="23" t="s">
        <v>84</v>
      </c>
      <c r="E7" s="32" t="s">
        <v>85</v>
      </c>
      <c r="F7" s="32" t="s">
        <v>85</v>
      </c>
      <c r="G7" s="13"/>
    </row>
    <row r="8" spans="1:7" ht="15" customHeight="1" x14ac:dyDescent="0.3">
      <c r="A8" s="10">
        <v>2022</v>
      </c>
      <c r="B8" s="22">
        <v>10</v>
      </c>
      <c r="C8" s="22">
        <v>10</v>
      </c>
      <c r="D8" s="23" t="s">
        <v>84</v>
      </c>
      <c r="E8" s="31" t="s">
        <v>85</v>
      </c>
      <c r="F8" s="31" t="s">
        <v>85</v>
      </c>
      <c r="G8" s="11"/>
    </row>
    <row r="9" spans="1:7" ht="30" customHeight="1" x14ac:dyDescent="0.3">
      <c r="A9" s="12">
        <v>2023</v>
      </c>
      <c r="B9" s="24">
        <v>11.55</v>
      </c>
      <c r="C9" s="13"/>
      <c r="D9" s="25" t="s">
        <v>86</v>
      </c>
      <c r="E9" s="32" t="s">
        <v>85</v>
      </c>
      <c r="F9" s="32" t="s">
        <v>85</v>
      </c>
      <c r="G9" s="13"/>
    </row>
    <row r="10" spans="1:7" ht="15" customHeight="1" x14ac:dyDescent="0.3">
      <c r="A10" s="48" t="s">
        <v>87</v>
      </c>
      <c r="B10" s="46"/>
      <c r="C10" s="46"/>
      <c r="D10" s="46"/>
      <c r="E10" s="46"/>
      <c r="F10" s="46"/>
      <c r="G10" s="46"/>
    </row>
    <row r="11" spans="1:7" ht="15" customHeight="1" x14ac:dyDescent="0.3">
      <c r="A11" s="9" t="s">
        <v>51</v>
      </c>
      <c r="B11" s="9" t="s">
        <v>88</v>
      </c>
      <c r="C11" s="9" t="s">
        <v>89</v>
      </c>
      <c r="D11" s="9"/>
      <c r="E11" s="9"/>
      <c r="F11" s="9"/>
      <c r="G11" s="9"/>
    </row>
    <row r="12" spans="1:7" ht="15" customHeight="1" x14ac:dyDescent="0.3">
      <c r="A12" s="10" t="s">
        <v>90</v>
      </c>
      <c r="B12" s="11">
        <v>11422</v>
      </c>
      <c r="C12" s="11" t="s">
        <v>91</v>
      </c>
    </row>
    <row r="13" spans="1:7" ht="15" customHeight="1" x14ac:dyDescent="0.3">
      <c r="A13" s="12" t="s">
        <v>92</v>
      </c>
      <c r="B13" s="13">
        <v>117</v>
      </c>
      <c r="C13" s="13" t="s">
        <v>93</v>
      </c>
    </row>
    <row r="14" spans="1:7" ht="15" customHeight="1" x14ac:dyDescent="0.3">
      <c r="A14" s="10" t="s">
        <v>14</v>
      </c>
      <c r="B14" s="11">
        <v>0</v>
      </c>
      <c r="C14" s="11" t="s">
        <v>19</v>
      </c>
    </row>
    <row r="15" spans="1:7" ht="15" customHeight="1" x14ac:dyDescent="0.3">
      <c r="A15" s="12" t="s">
        <v>16</v>
      </c>
      <c r="B15" s="13">
        <v>11</v>
      </c>
      <c r="C15" s="13" t="s">
        <v>19</v>
      </c>
    </row>
    <row r="16" spans="1:7" ht="15" customHeight="1" x14ac:dyDescent="0.3">
      <c r="A16" s="10" t="s">
        <v>94</v>
      </c>
      <c r="B16" s="11">
        <v>0</v>
      </c>
      <c r="C16" s="11" t="s">
        <v>19</v>
      </c>
    </row>
    <row r="17" spans="1:7" ht="15" customHeight="1" x14ac:dyDescent="0.3">
      <c r="A17" s="12" t="s">
        <v>95</v>
      </c>
      <c r="B17" s="13">
        <v>0</v>
      </c>
      <c r="C17" s="13" t="s">
        <v>19</v>
      </c>
    </row>
    <row r="18" spans="1:7" ht="15" customHeight="1" x14ac:dyDescent="0.3">
      <c r="A18" s="14" t="s">
        <v>96</v>
      </c>
      <c r="B18" s="15">
        <f>SUM(B12:B17)</f>
        <v>11550</v>
      </c>
      <c r="C18" s="15" t="s">
        <v>97</v>
      </c>
    </row>
    <row r="20" spans="1:7" ht="15" customHeight="1" x14ac:dyDescent="0.3">
      <c r="A20" s="48" t="s">
        <v>98</v>
      </c>
      <c r="B20" s="46"/>
      <c r="C20" s="46"/>
      <c r="D20" s="46"/>
      <c r="E20" s="46"/>
      <c r="F20" s="46"/>
      <c r="G20" s="46"/>
    </row>
    <row r="21" spans="1:7" ht="15" customHeight="1" x14ac:dyDescent="0.3">
      <c r="A21" s="9" t="s">
        <v>99</v>
      </c>
      <c r="B21" s="9" t="s">
        <v>100</v>
      </c>
      <c r="C21" s="9" t="s">
        <v>101</v>
      </c>
      <c r="D21" s="9" t="s">
        <v>102</v>
      </c>
      <c r="E21" s="9" t="s">
        <v>103</v>
      </c>
      <c r="F21" s="9" t="s">
        <v>104</v>
      </c>
      <c r="G21" s="9" t="s">
        <v>105</v>
      </c>
    </row>
    <row r="22" spans="1:7" ht="15" customHeight="1" x14ac:dyDescent="0.3">
      <c r="A22" s="10" t="s">
        <v>59</v>
      </c>
      <c r="B22" s="11">
        <v>302978</v>
      </c>
      <c r="C22" s="11">
        <v>390632</v>
      </c>
      <c r="D22" s="11">
        <v>581342</v>
      </c>
      <c r="E22" s="11">
        <v>25462</v>
      </c>
      <c r="F22" s="11">
        <v>1300414</v>
      </c>
      <c r="G22" s="11">
        <v>251558</v>
      </c>
    </row>
    <row r="23" spans="1:7" ht="15" customHeight="1" x14ac:dyDescent="0.3">
      <c r="A23" s="12" t="s">
        <v>60</v>
      </c>
      <c r="B23" s="13">
        <v>313301</v>
      </c>
      <c r="C23" s="13">
        <v>393941</v>
      </c>
      <c r="D23" s="13">
        <v>589232</v>
      </c>
      <c r="E23" s="13">
        <v>20856</v>
      </c>
      <c r="F23" s="13">
        <v>1317331</v>
      </c>
      <c r="G23" s="13">
        <v>255670</v>
      </c>
    </row>
    <row r="24" spans="1:7" ht="15" customHeight="1" x14ac:dyDescent="0.3">
      <c r="A24" s="10" t="s">
        <v>61</v>
      </c>
      <c r="B24" s="11">
        <v>243531</v>
      </c>
      <c r="C24" s="11">
        <v>368808</v>
      </c>
      <c r="D24" s="11">
        <v>570445</v>
      </c>
      <c r="E24" s="11">
        <v>6120</v>
      </c>
      <c r="F24" s="11">
        <v>1188903</v>
      </c>
      <c r="G24" s="11">
        <v>280973</v>
      </c>
    </row>
    <row r="25" spans="1:7" ht="15" customHeight="1" x14ac:dyDescent="0.3">
      <c r="A25" s="12" t="s">
        <v>62</v>
      </c>
      <c r="B25" s="13">
        <v>257769</v>
      </c>
      <c r="C25" s="13">
        <v>179698</v>
      </c>
      <c r="D25" s="13">
        <v>485608</v>
      </c>
      <c r="E25" s="13">
        <v>519</v>
      </c>
      <c r="F25" s="13">
        <v>923594</v>
      </c>
      <c r="G25" s="13">
        <v>202254</v>
      </c>
    </row>
    <row r="26" spans="1:7" ht="15" customHeight="1" x14ac:dyDescent="0.3">
      <c r="A26" s="10" t="s">
        <v>63</v>
      </c>
      <c r="B26" s="11">
        <v>260905</v>
      </c>
      <c r="C26" s="11">
        <v>162639</v>
      </c>
      <c r="D26" s="11">
        <v>403375</v>
      </c>
      <c r="E26" s="11">
        <v>18687</v>
      </c>
      <c r="F26" s="11">
        <v>845606</v>
      </c>
      <c r="G26" s="11">
        <v>87804</v>
      </c>
    </row>
    <row r="27" spans="1:7" ht="15" customHeight="1" x14ac:dyDescent="0.3">
      <c r="A27" s="12" t="s">
        <v>64</v>
      </c>
      <c r="B27" s="13">
        <v>232902</v>
      </c>
      <c r="C27" s="13">
        <v>120830</v>
      </c>
      <c r="D27" s="13">
        <v>343962</v>
      </c>
      <c r="E27" s="13">
        <v>202881</v>
      </c>
      <c r="F27" s="13">
        <v>900573</v>
      </c>
      <c r="G27" s="13">
        <v>590</v>
      </c>
    </row>
    <row r="28" spans="1:7" ht="15" customHeight="1" x14ac:dyDescent="0.3">
      <c r="A28" s="10" t="s">
        <v>65</v>
      </c>
      <c r="B28" s="11">
        <v>174678</v>
      </c>
      <c r="C28" s="11">
        <v>89674</v>
      </c>
      <c r="D28" s="11">
        <v>257446</v>
      </c>
      <c r="E28" s="11">
        <v>310988</v>
      </c>
      <c r="F28" s="11">
        <v>832787</v>
      </c>
      <c r="G28" s="11">
        <v>0</v>
      </c>
    </row>
    <row r="29" spans="1:7" ht="15" customHeight="1" x14ac:dyDescent="0.3">
      <c r="A29" s="12" t="s">
        <v>66</v>
      </c>
      <c r="B29" s="13">
        <v>158199</v>
      </c>
      <c r="C29" s="13">
        <v>82609</v>
      </c>
      <c r="D29" s="13">
        <v>266077</v>
      </c>
      <c r="E29" s="13">
        <v>318471</v>
      </c>
      <c r="F29" s="13">
        <v>825356</v>
      </c>
      <c r="G29" s="13">
        <v>0</v>
      </c>
    </row>
    <row r="30" spans="1:7" ht="15" customHeight="1" x14ac:dyDescent="0.3">
      <c r="A30" s="10" t="s">
        <v>67</v>
      </c>
      <c r="B30" s="11">
        <v>177845</v>
      </c>
      <c r="C30" s="11">
        <v>78510</v>
      </c>
      <c r="D30" s="11">
        <v>289332</v>
      </c>
      <c r="E30" s="11">
        <v>335537</v>
      </c>
      <c r="F30" s="11">
        <v>881225</v>
      </c>
      <c r="G30" s="11">
        <v>0</v>
      </c>
    </row>
    <row r="31" spans="1:7" ht="15" customHeight="1" x14ac:dyDescent="0.3">
      <c r="A31" s="12" t="s">
        <v>68</v>
      </c>
      <c r="B31" s="13">
        <v>221809</v>
      </c>
      <c r="C31" s="13">
        <v>83949</v>
      </c>
      <c r="D31" s="13">
        <v>329182</v>
      </c>
      <c r="E31" s="13">
        <v>395728</v>
      </c>
      <c r="F31" s="13">
        <v>1030668</v>
      </c>
      <c r="G31" s="13">
        <v>0</v>
      </c>
    </row>
    <row r="32" spans="1:7" ht="15" customHeight="1" x14ac:dyDescent="0.3">
      <c r="A32" s="10" t="s">
        <v>69</v>
      </c>
      <c r="B32" s="11">
        <v>290240</v>
      </c>
      <c r="C32" s="11">
        <v>189873</v>
      </c>
      <c r="D32" s="11">
        <v>521006</v>
      </c>
      <c r="E32" s="11">
        <v>184401</v>
      </c>
      <c r="F32" s="11">
        <v>1185520</v>
      </c>
      <c r="G32" s="11">
        <v>24205</v>
      </c>
    </row>
    <row r="33" spans="1:7" ht="15" customHeight="1" x14ac:dyDescent="0.3">
      <c r="A33" s="12" t="s">
        <v>70</v>
      </c>
      <c r="B33" s="13">
        <v>286420</v>
      </c>
      <c r="C33" s="13">
        <v>384397</v>
      </c>
      <c r="D33" s="13">
        <v>704455</v>
      </c>
      <c r="E33" s="13">
        <v>34876</v>
      </c>
      <c r="F33" s="13">
        <v>1410148</v>
      </c>
      <c r="G33" s="13">
        <v>230067</v>
      </c>
    </row>
    <row r="34" spans="1:7" ht="15" customHeight="1" x14ac:dyDescent="0.3">
      <c r="A34" s="16" t="s">
        <v>96</v>
      </c>
      <c r="B34" s="17">
        <f t="shared" ref="B34:G34" si="0">SUM(B22:B33)</f>
        <v>2920577</v>
      </c>
      <c r="C34" s="17">
        <f t="shared" si="0"/>
        <v>2525560</v>
      </c>
      <c r="D34" s="17">
        <f t="shared" si="0"/>
        <v>5341462</v>
      </c>
      <c r="E34" s="17">
        <f t="shared" si="0"/>
        <v>1854526</v>
      </c>
      <c r="F34" s="17">
        <f t="shared" si="0"/>
        <v>12642125</v>
      </c>
      <c r="G34" s="17">
        <f t="shared" si="0"/>
        <v>1333121</v>
      </c>
    </row>
    <row r="36" spans="1:7" ht="15" customHeight="1" x14ac:dyDescent="0.3">
      <c r="A36" s="48" t="s">
        <v>106</v>
      </c>
      <c r="B36" s="46"/>
      <c r="C36" s="46"/>
      <c r="D36" s="46"/>
      <c r="E36" s="46"/>
      <c r="F36" s="46"/>
      <c r="G36" s="46"/>
    </row>
    <row r="37" spans="1:7" ht="15" customHeight="1" x14ac:dyDescent="0.3">
      <c r="A37" s="9" t="s">
        <v>107</v>
      </c>
      <c r="B37" s="9" t="s">
        <v>108</v>
      </c>
      <c r="C37" s="9" t="s">
        <v>109</v>
      </c>
      <c r="D37" s="9"/>
      <c r="E37" s="9"/>
      <c r="F37" s="9"/>
      <c r="G37" s="9"/>
    </row>
    <row r="38" spans="1:7" ht="15" customHeight="1" x14ac:dyDescent="0.3">
      <c r="A38" s="10" t="s">
        <v>110</v>
      </c>
      <c r="B38" s="11">
        <v>20555</v>
      </c>
      <c r="C38" s="11">
        <v>50721</v>
      </c>
    </row>
    <row r="39" spans="1:7" ht="15" customHeight="1" x14ac:dyDescent="0.3">
      <c r="A39" s="12" t="s">
        <v>111</v>
      </c>
      <c r="B39" s="13">
        <v>15</v>
      </c>
      <c r="C39" s="13">
        <v>18</v>
      </c>
    </row>
    <row r="40" spans="1:7" ht="15" customHeight="1" x14ac:dyDescent="0.3">
      <c r="A40" s="10" t="s">
        <v>112</v>
      </c>
      <c r="B40" s="11">
        <v>411748</v>
      </c>
      <c r="C40" s="11">
        <v>389981</v>
      </c>
    </row>
    <row r="41" spans="1:7" ht="15" customHeight="1" x14ac:dyDescent="0.3">
      <c r="A41" s="12" t="s">
        <v>113</v>
      </c>
      <c r="B41" s="13">
        <v>22944</v>
      </c>
      <c r="C41" s="13">
        <v>75377</v>
      </c>
    </row>
    <row r="42" spans="1:7" ht="15" customHeight="1" x14ac:dyDescent="0.3">
      <c r="A42" s="16" t="s">
        <v>96</v>
      </c>
      <c r="B42" s="15">
        <f>SUM(B38:B41)</f>
        <v>455262</v>
      </c>
      <c r="C42" s="15">
        <f>SUM(C38:C41)</f>
        <v>516097</v>
      </c>
    </row>
    <row r="44" spans="1:7" ht="49.5" customHeight="1" x14ac:dyDescent="0.3">
      <c r="A44" s="45" t="s">
        <v>114</v>
      </c>
      <c r="B44" s="46"/>
      <c r="C44" s="46"/>
      <c r="D44" s="46"/>
      <c r="E44" s="46"/>
      <c r="F44" s="46"/>
      <c r="G44" s="46"/>
    </row>
  </sheetData>
  <mergeCells count="6">
    <mergeCell ref="A36:G36"/>
    <mergeCell ref="A44:G44"/>
    <mergeCell ref="A1:G1"/>
    <mergeCell ref="A20:G20"/>
    <mergeCell ref="A2:G2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tabSelected="1" zoomScaleNormal="100" workbookViewId="0">
      <selection sqref="A1:L1"/>
    </sheetView>
  </sheetViews>
  <sheetFormatPr baseColWidth="10" defaultColWidth="8.6640625" defaultRowHeight="14.4" x14ac:dyDescent="0.3"/>
  <cols>
    <col min="1" max="1" width="14" customWidth="1"/>
    <col min="2" max="2" width="20" customWidth="1"/>
    <col min="3" max="3" width="16" customWidth="1"/>
    <col min="4" max="4" width="42" customWidth="1"/>
    <col min="5" max="5" width="16" customWidth="1"/>
    <col min="6" max="6" width="26" customWidth="1"/>
    <col min="7" max="11" width="20" customWidth="1"/>
  </cols>
  <sheetData>
    <row r="1" spans="1:12" ht="27.75" customHeight="1" x14ac:dyDescent="0.3">
      <c r="A1" s="47" t="s">
        <v>115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5" customHeight="1" x14ac:dyDescent="0.3">
      <c r="A2" s="48" t="s">
        <v>116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23.85" customHeight="1" x14ac:dyDescent="0.3">
      <c r="A3" s="1" t="s">
        <v>99</v>
      </c>
      <c r="B3" s="1" t="s">
        <v>117</v>
      </c>
      <c r="C3" s="1" t="s">
        <v>101</v>
      </c>
      <c r="D3" s="1" t="s">
        <v>118</v>
      </c>
      <c r="E3" s="1" t="s">
        <v>103</v>
      </c>
      <c r="F3" s="1" t="s">
        <v>104</v>
      </c>
      <c r="G3" s="1" t="s">
        <v>105</v>
      </c>
      <c r="H3" s="1" t="s">
        <v>119</v>
      </c>
      <c r="I3" s="1" t="s">
        <v>120</v>
      </c>
      <c r="J3" s="1" t="s">
        <v>121</v>
      </c>
      <c r="K3" s="1" t="s">
        <v>74</v>
      </c>
    </row>
    <row r="4" spans="1:12" ht="15" customHeight="1" x14ac:dyDescent="0.3">
      <c r="A4" s="5" t="s">
        <v>59</v>
      </c>
      <c r="B4" s="6">
        <v>302978</v>
      </c>
      <c r="C4" s="6">
        <v>390632</v>
      </c>
      <c r="D4" s="6">
        <v>581342</v>
      </c>
      <c r="E4" s="6">
        <v>25462</v>
      </c>
      <c r="F4" s="6">
        <v>1300414</v>
      </c>
      <c r="G4" s="6">
        <v>251558</v>
      </c>
      <c r="H4" s="6">
        <v>1048856</v>
      </c>
      <c r="I4" s="6">
        <v>1660</v>
      </c>
      <c r="J4" s="6">
        <v>0</v>
      </c>
      <c r="K4" s="6">
        <v>1050516</v>
      </c>
    </row>
    <row r="5" spans="1:12" ht="15" customHeight="1" x14ac:dyDescent="0.3">
      <c r="A5" s="2" t="s">
        <v>60</v>
      </c>
      <c r="B5" s="3">
        <v>313301</v>
      </c>
      <c r="C5" s="3">
        <v>393941</v>
      </c>
      <c r="D5" s="3">
        <v>589232</v>
      </c>
      <c r="E5" s="3">
        <v>20856</v>
      </c>
      <c r="F5" s="3">
        <v>1317331</v>
      </c>
      <c r="G5" s="3">
        <v>255670</v>
      </c>
      <c r="H5" s="3">
        <v>1061661</v>
      </c>
      <c r="I5" s="3">
        <v>2255</v>
      </c>
      <c r="J5" s="3">
        <v>0</v>
      </c>
      <c r="K5" s="3">
        <v>1063916</v>
      </c>
    </row>
    <row r="6" spans="1:12" ht="15" customHeight="1" x14ac:dyDescent="0.3">
      <c r="A6" s="5" t="s">
        <v>61</v>
      </c>
      <c r="B6" s="6">
        <v>243531</v>
      </c>
      <c r="C6" s="6">
        <v>368808</v>
      </c>
      <c r="D6" s="6">
        <v>570445</v>
      </c>
      <c r="E6" s="6">
        <v>6120</v>
      </c>
      <c r="F6" s="6">
        <v>1188903</v>
      </c>
      <c r="G6" s="6">
        <v>280973</v>
      </c>
      <c r="H6" s="6">
        <v>907930</v>
      </c>
      <c r="I6" s="6">
        <v>1285</v>
      </c>
      <c r="J6" s="6">
        <v>0</v>
      </c>
      <c r="K6" s="6">
        <v>909215</v>
      </c>
    </row>
    <row r="7" spans="1:12" ht="15" customHeight="1" x14ac:dyDescent="0.3">
      <c r="A7" s="2" t="s">
        <v>62</v>
      </c>
      <c r="B7" s="3">
        <v>257769</v>
      </c>
      <c r="C7" s="3">
        <v>179698</v>
      </c>
      <c r="D7" s="3">
        <v>485608</v>
      </c>
      <c r="E7" s="3">
        <v>519</v>
      </c>
      <c r="F7" s="3">
        <v>923594</v>
      </c>
      <c r="G7" s="3">
        <v>202254</v>
      </c>
      <c r="H7" s="3">
        <v>721341</v>
      </c>
      <c r="I7" s="3">
        <v>820</v>
      </c>
      <c r="J7" s="3">
        <v>0</v>
      </c>
      <c r="K7" s="3">
        <v>722161</v>
      </c>
    </row>
    <row r="8" spans="1:12" ht="15" customHeight="1" x14ac:dyDescent="0.3">
      <c r="A8" s="5" t="s">
        <v>63</v>
      </c>
      <c r="B8" s="6">
        <v>260905</v>
      </c>
      <c r="C8" s="6">
        <v>162639</v>
      </c>
      <c r="D8" s="6">
        <v>403375</v>
      </c>
      <c r="E8" s="6">
        <v>18687</v>
      </c>
      <c r="F8" s="6">
        <v>845606</v>
      </c>
      <c r="G8" s="6">
        <v>87804</v>
      </c>
      <c r="H8" s="6">
        <v>757802</v>
      </c>
      <c r="I8" s="6">
        <v>1015</v>
      </c>
      <c r="J8" s="6">
        <v>0</v>
      </c>
      <c r="K8" s="6">
        <v>758817</v>
      </c>
    </row>
    <row r="9" spans="1:12" ht="15" customHeight="1" x14ac:dyDescent="0.3">
      <c r="A9" s="2" t="s">
        <v>64</v>
      </c>
      <c r="B9" s="3">
        <v>232902</v>
      </c>
      <c r="C9" s="3">
        <v>120830</v>
      </c>
      <c r="D9" s="3">
        <v>343962</v>
      </c>
      <c r="E9" s="3">
        <v>202881</v>
      </c>
      <c r="F9" s="3">
        <v>900573</v>
      </c>
      <c r="G9" s="3">
        <v>590</v>
      </c>
      <c r="H9" s="3">
        <v>899983</v>
      </c>
      <c r="I9" s="3">
        <v>15916</v>
      </c>
      <c r="J9" s="3">
        <v>0</v>
      </c>
      <c r="K9" s="3">
        <v>915899</v>
      </c>
    </row>
    <row r="10" spans="1:12" ht="15" customHeight="1" x14ac:dyDescent="0.3">
      <c r="A10" s="5" t="s">
        <v>65</v>
      </c>
      <c r="B10" s="6">
        <v>174678</v>
      </c>
      <c r="C10" s="6">
        <v>89674</v>
      </c>
      <c r="D10" s="6">
        <v>257446</v>
      </c>
      <c r="E10" s="6">
        <v>310988</v>
      </c>
      <c r="F10" s="6">
        <v>832787</v>
      </c>
      <c r="G10" s="6">
        <v>0</v>
      </c>
      <c r="H10" s="6">
        <v>832787</v>
      </c>
      <c r="I10" s="6">
        <v>30926</v>
      </c>
      <c r="J10" s="6">
        <v>0</v>
      </c>
      <c r="K10" s="6">
        <v>863713</v>
      </c>
    </row>
    <row r="11" spans="1:12" ht="15" customHeight="1" x14ac:dyDescent="0.3">
      <c r="A11" s="2" t="s">
        <v>66</v>
      </c>
      <c r="B11" s="3">
        <v>158199</v>
      </c>
      <c r="C11" s="3">
        <v>82609</v>
      </c>
      <c r="D11" s="3">
        <v>266077</v>
      </c>
      <c r="E11" s="3">
        <v>318471</v>
      </c>
      <c r="F11" s="3">
        <v>825356</v>
      </c>
      <c r="G11" s="3">
        <v>0</v>
      </c>
      <c r="H11" s="3">
        <v>825356</v>
      </c>
      <c r="I11" s="3">
        <v>48590</v>
      </c>
      <c r="J11" s="3">
        <v>0</v>
      </c>
      <c r="K11" s="3">
        <v>873946</v>
      </c>
    </row>
    <row r="12" spans="1:12" ht="15" customHeight="1" x14ac:dyDescent="0.3">
      <c r="A12" s="5" t="s">
        <v>67</v>
      </c>
      <c r="B12" s="6">
        <v>177845</v>
      </c>
      <c r="C12" s="6">
        <v>78510</v>
      </c>
      <c r="D12" s="6">
        <v>289332</v>
      </c>
      <c r="E12" s="6">
        <v>335537</v>
      </c>
      <c r="F12" s="6">
        <v>881225</v>
      </c>
      <c r="G12" s="6">
        <v>0</v>
      </c>
      <c r="H12" s="6">
        <v>881225</v>
      </c>
      <c r="I12" s="6">
        <v>38280</v>
      </c>
      <c r="J12" s="6">
        <v>0</v>
      </c>
      <c r="K12" s="6">
        <v>919505</v>
      </c>
    </row>
    <row r="13" spans="1:12" ht="15" customHeight="1" x14ac:dyDescent="0.3">
      <c r="A13" s="2" t="s">
        <v>68</v>
      </c>
      <c r="B13" s="3">
        <v>221809</v>
      </c>
      <c r="C13" s="3">
        <v>83949</v>
      </c>
      <c r="D13" s="3">
        <v>329182</v>
      </c>
      <c r="E13" s="3">
        <v>395728</v>
      </c>
      <c r="F13" s="3">
        <v>1030668</v>
      </c>
      <c r="G13" s="3">
        <v>0</v>
      </c>
      <c r="H13" s="3">
        <v>1030668</v>
      </c>
      <c r="I13" s="3">
        <v>52575</v>
      </c>
      <c r="J13" s="3">
        <v>0</v>
      </c>
      <c r="K13" s="3">
        <v>1083243</v>
      </c>
    </row>
    <row r="14" spans="1:12" ht="15" customHeight="1" x14ac:dyDescent="0.3">
      <c r="A14" s="5" t="s">
        <v>69</v>
      </c>
      <c r="B14" s="6">
        <v>290240</v>
      </c>
      <c r="C14" s="6">
        <v>189873</v>
      </c>
      <c r="D14" s="6">
        <v>521006</v>
      </c>
      <c r="E14" s="6">
        <v>184401</v>
      </c>
      <c r="F14" s="6">
        <v>1185520</v>
      </c>
      <c r="G14" s="6">
        <v>24205</v>
      </c>
      <c r="H14" s="6">
        <v>1161315</v>
      </c>
      <c r="I14" s="6">
        <v>30740</v>
      </c>
      <c r="J14" s="6">
        <v>0</v>
      </c>
      <c r="K14" s="6">
        <v>1192055</v>
      </c>
    </row>
    <row r="15" spans="1:12" ht="15" customHeight="1" x14ac:dyDescent="0.3">
      <c r="A15" s="2" t="s">
        <v>70</v>
      </c>
      <c r="B15" s="3">
        <v>286420</v>
      </c>
      <c r="C15" s="3">
        <v>384397</v>
      </c>
      <c r="D15" s="3">
        <v>704455</v>
      </c>
      <c r="E15" s="3">
        <v>34876</v>
      </c>
      <c r="F15" s="3">
        <v>1410148</v>
      </c>
      <c r="G15" s="3">
        <v>230067</v>
      </c>
      <c r="H15" s="3">
        <v>1180081</v>
      </c>
      <c r="I15" s="3">
        <v>14370</v>
      </c>
      <c r="J15" s="3">
        <v>0</v>
      </c>
      <c r="K15" s="3">
        <v>1194451</v>
      </c>
    </row>
    <row r="16" spans="1:12" ht="15" customHeight="1" x14ac:dyDescent="0.3">
      <c r="A16" s="18" t="s">
        <v>122</v>
      </c>
      <c r="B16" s="19">
        <f>SUM(B4:B15)</f>
        <v>2920577</v>
      </c>
      <c r="C16" s="19">
        <f>SUM(C4:C15)</f>
        <v>2525560</v>
      </c>
      <c r="D16" s="19">
        <f>SUM(D4:D15)</f>
        <v>5341462</v>
      </c>
      <c r="E16" s="19">
        <f>SUM(E4:E15)</f>
        <v>1854526</v>
      </c>
      <c r="F16" s="26">
        <v>12642126</v>
      </c>
      <c r="G16" s="26">
        <v>1333120</v>
      </c>
      <c r="H16" s="19">
        <f>SUM(H4:H15)</f>
        <v>11309005</v>
      </c>
      <c r="I16" s="19">
        <f>SUM(I4:I15)</f>
        <v>238432</v>
      </c>
      <c r="J16" s="19">
        <f>SUM(J4:J15)</f>
        <v>0</v>
      </c>
      <c r="K16" s="19">
        <f>SUM(K4:K15)</f>
        <v>11547437</v>
      </c>
    </row>
    <row r="18" spans="1:12" ht="15" customHeight="1" x14ac:dyDescent="0.3">
      <c r="A18" s="48" t="s">
        <v>123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35.1" customHeight="1" x14ac:dyDescent="0.3">
      <c r="A19" s="1" t="s">
        <v>99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72</v>
      </c>
      <c r="I19" s="1" t="s">
        <v>73</v>
      </c>
      <c r="J19" s="1" t="s">
        <v>130</v>
      </c>
    </row>
    <row r="20" spans="1:12" ht="15" customHeight="1" x14ac:dyDescent="0.3">
      <c r="A20" s="5" t="s">
        <v>59</v>
      </c>
      <c r="B20" s="6">
        <v>1892</v>
      </c>
      <c r="C20" s="6">
        <v>84</v>
      </c>
      <c r="D20" s="6">
        <v>1968</v>
      </c>
      <c r="E20" s="6">
        <v>391</v>
      </c>
      <c r="F20" s="6">
        <v>1754</v>
      </c>
      <c r="G20" s="6">
        <v>40</v>
      </c>
      <c r="H20" s="6">
        <v>1968</v>
      </c>
      <c r="I20" s="6">
        <v>1754</v>
      </c>
      <c r="J20" s="6">
        <v>-363</v>
      </c>
    </row>
    <row r="21" spans="1:12" ht="15" customHeight="1" x14ac:dyDescent="0.3">
      <c r="A21" s="2" t="s">
        <v>60</v>
      </c>
      <c r="B21" s="3">
        <v>1922</v>
      </c>
      <c r="C21" s="3">
        <v>88</v>
      </c>
      <c r="D21" s="3">
        <v>1990</v>
      </c>
      <c r="E21" s="3">
        <v>335</v>
      </c>
      <c r="F21" s="3">
        <v>1787</v>
      </c>
      <c r="G21" s="3">
        <v>200</v>
      </c>
      <c r="H21" s="3">
        <v>2007</v>
      </c>
      <c r="I21" s="3">
        <v>1815</v>
      </c>
      <c r="J21" s="3">
        <v>-314</v>
      </c>
    </row>
    <row r="22" spans="1:12" ht="15" customHeight="1" x14ac:dyDescent="0.3">
      <c r="A22" s="5" t="s">
        <v>61</v>
      </c>
      <c r="B22" s="6">
        <v>1899</v>
      </c>
      <c r="C22" s="6">
        <v>75</v>
      </c>
      <c r="D22" s="6">
        <v>1961</v>
      </c>
      <c r="E22" s="6">
        <v>415</v>
      </c>
      <c r="F22" s="6">
        <v>1757</v>
      </c>
      <c r="G22" s="6">
        <v>12</v>
      </c>
      <c r="H22" s="6">
        <v>1961</v>
      </c>
      <c r="I22" s="6">
        <v>1757</v>
      </c>
      <c r="J22" s="6">
        <v>-405</v>
      </c>
    </row>
    <row r="23" spans="1:12" ht="15" customHeight="1" x14ac:dyDescent="0.3">
      <c r="A23" s="2" t="s">
        <v>62</v>
      </c>
      <c r="B23" s="3">
        <v>1760</v>
      </c>
      <c r="C23" s="3">
        <v>94</v>
      </c>
      <c r="D23" s="3">
        <v>1774</v>
      </c>
      <c r="E23" s="3">
        <v>408</v>
      </c>
      <c r="F23" s="3">
        <v>1465</v>
      </c>
      <c r="G23" s="3">
        <v>40</v>
      </c>
      <c r="H23" s="3">
        <v>1774</v>
      </c>
      <c r="I23" s="3">
        <v>1465</v>
      </c>
      <c r="J23" s="3">
        <v>-406</v>
      </c>
    </row>
    <row r="24" spans="1:12" ht="15" customHeight="1" x14ac:dyDescent="0.3">
      <c r="A24" s="5" t="s">
        <v>63</v>
      </c>
      <c r="B24" s="6">
        <v>1716</v>
      </c>
      <c r="C24" s="6">
        <v>64</v>
      </c>
      <c r="D24" s="6">
        <v>1729</v>
      </c>
      <c r="E24" s="6">
        <v>430</v>
      </c>
      <c r="F24" s="6">
        <v>1595</v>
      </c>
      <c r="G24" s="6">
        <v>50</v>
      </c>
      <c r="H24" s="6">
        <v>1729</v>
      </c>
      <c r="I24" s="6">
        <v>1595</v>
      </c>
      <c r="J24" s="6">
        <v>-430</v>
      </c>
    </row>
    <row r="25" spans="1:12" ht="15" customHeight="1" x14ac:dyDescent="0.3">
      <c r="A25" s="2" t="s">
        <v>64</v>
      </c>
      <c r="B25" s="3">
        <v>1596</v>
      </c>
      <c r="C25" s="3">
        <v>450</v>
      </c>
      <c r="D25" s="3">
        <v>1729</v>
      </c>
      <c r="E25" s="3">
        <v>6</v>
      </c>
      <c r="F25" s="3">
        <v>1729</v>
      </c>
      <c r="G25" s="3">
        <v>260</v>
      </c>
      <c r="H25" s="3">
        <v>1840</v>
      </c>
      <c r="I25" s="3">
        <v>1840</v>
      </c>
      <c r="J25" s="3">
        <v>450</v>
      </c>
    </row>
    <row r="26" spans="1:12" ht="15" customHeight="1" x14ac:dyDescent="0.3">
      <c r="A26" s="5" t="s">
        <v>65</v>
      </c>
      <c r="B26" s="6">
        <v>1140</v>
      </c>
      <c r="C26" s="6">
        <v>516</v>
      </c>
      <c r="D26" s="6">
        <v>1626</v>
      </c>
      <c r="E26" s="6">
        <v>0</v>
      </c>
      <c r="F26" s="6">
        <v>1626</v>
      </c>
      <c r="G26" s="6">
        <v>220</v>
      </c>
      <c r="H26" s="6">
        <v>1796</v>
      </c>
      <c r="I26" s="6">
        <v>1796</v>
      </c>
      <c r="J26" s="6">
        <v>516</v>
      </c>
    </row>
    <row r="27" spans="1:12" ht="15" customHeight="1" x14ac:dyDescent="0.3">
      <c r="A27" s="2" t="s">
        <v>66</v>
      </c>
      <c r="B27" s="3">
        <v>1217</v>
      </c>
      <c r="C27" s="3">
        <v>589</v>
      </c>
      <c r="D27" s="3">
        <v>1533</v>
      </c>
      <c r="E27" s="3">
        <v>0</v>
      </c>
      <c r="F27" s="3">
        <v>1533</v>
      </c>
      <c r="G27" s="3">
        <v>320</v>
      </c>
      <c r="H27" s="3">
        <v>1697</v>
      </c>
      <c r="I27" s="3">
        <v>1697</v>
      </c>
      <c r="J27" s="3">
        <v>589</v>
      </c>
    </row>
    <row r="28" spans="1:12" ht="15" customHeight="1" x14ac:dyDescent="0.3">
      <c r="A28" s="5" t="s">
        <v>67</v>
      </c>
      <c r="B28" s="6">
        <v>1168</v>
      </c>
      <c r="C28" s="6">
        <v>665</v>
      </c>
      <c r="D28" s="6">
        <v>1590</v>
      </c>
      <c r="E28" s="6">
        <v>0</v>
      </c>
      <c r="F28" s="6">
        <v>1590</v>
      </c>
      <c r="G28" s="6">
        <v>225</v>
      </c>
      <c r="H28" s="6">
        <v>1815</v>
      </c>
      <c r="I28" s="6">
        <v>1815</v>
      </c>
      <c r="J28" s="6">
        <v>665</v>
      </c>
    </row>
    <row r="29" spans="1:12" ht="15" customHeight="1" x14ac:dyDescent="0.3">
      <c r="A29" s="2" t="s">
        <v>68</v>
      </c>
      <c r="B29" s="3">
        <v>1320</v>
      </c>
      <c r="C29" s="3">
        <v>674</v>
      </c>
      <c r="D29" s="3">
        <v>1692</v>
      </c>
      <c r="E29" s="3">
        <v>0</v>
      </c>
      <c r="F29" s="3">
        <v>1692</v>
      </c>
      <c r="G29" s="3">
        <v>390</v>
      </c>
      <c r="H29" s="3">
        <v>1939</v>
      </c>
      <c r="I29" s="3">
        <v>1939</v>
      </c>
      <c r="J29" s="3">
        <v>99</v>
      </c>
    </row>
    <row r="30" spans="1:12" ht="15" customHeight="1" x14ac:dyDescent="0.3">
      <c r="A30" s="5" t="s">
        <v>69</v>
      </c>
      <c r="B30" s="6">
        <v>1908</v>
      </c>
      <c r="C30" s="6">
        <v>501</v>
      </c>
      <c r="D30" s="6">
        <v>1966</v>
      </c>
      <c r="E30" s="6">
        <v>195</v>
      </c>
      <c r="F30" s="6">
        <v>1796</v>
      </c>
      <c r="G30" s="6">
        <v>220</v>
      </c>
      <c r="H30" s="6">
        <v>2066</v>
      </c>
      <c r="I30" s="6">
        <v>1986</v>
      </c>
      <c r="J30" s="6">
        <v>501</v>
      </c>
    </row>
    <row r="31" spans="1:12" ht="15" customHeight="1" x14ac:dyDescent="0.3">
      <c r="A31" s="2" t="s">
        <v>70</v>
      </c>
      <c r="B31" s="3">
        <v>2120</v>
      </c>
      <c r="C31" s="3">
        <v>129</v>
      </c>
      <c r="D31" s="3">
        <v>2171</v>
      </c>
      <c r="E31" s="3">
        <v>409</v>
      </c>
      <c r="F31" s="3">
        <v>1877</v>
      </c>
      <c r="G31" s="3">
        <v>150</v>
      </c>
      <c r="H31" s="3">
        <v>2171</v>
      </c>
      <c r="I31" s="3">
        <v>1948</v>
      </c>
      <c r="J31" s="3">
        <v>-384</v>
      </c>
    </row>
    <row r="32" spans="1:12" ht="15" customHeight="1" x14ac:dyDescent="0.3">
      <c r="A32" s="18" t="s">
        <v>131</v>
      </c>
      <c r="B32" s="19">
        <f t="shared" ref="B32:I32" si="0">MAX(B20:B31)</f>
        <v>2120</v>
      </c>
      <c r="C32" s="19">
        <f t="shared" si="0"/>
        <v>674</v>
      </c>
      <c r="D32" s="19">
        <f t="shared" si="0"/>
        <v>2171</v>
      </c>
      <c r="E32" s="19">
        <f t="shared" si="0"/>
        <v>430</v>
      </c>
      <c r="F32" s="19">
        <f t="shared" si="0"/>
        <v>1877</v>
      </c>
      <c r="G32" s="19">
        <f t="shared" si="0"/>
        <v>390</v>
      </c>
      <c r="H32" s="19">
        <f t="shared" si="0"/>
        <v>2171</v>
      </c>
      <c r="I32" s="19">
        <f t="shared" si="0"/>
        <v>1986</v>
      </c>
      <c r="J32" s="20"/>
    </row>
    <row r="34" spans="1:12" ht="49.5" customHeight="1" x14ac:dyDescent="0.3">
      <c r="A34" s="45" t="s">
        <v>132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6" spans="1:12" ht="22.05" customHeight="1" x14ac:dyDescent="0.3">
      <c r="A36" s="50" t="s">
        <v>133</v>
      </c>
      <c r="B36" s="46"/>
      <c r="C36" s="46"/>
      <c r="D36" s="46"/>
      <c r="E36" s="46"/>
      <c r="F36" s="46"/>
    </row>
    <row r="37" spans="1:12" ht="28.05" customHeight="1" x14ac:dyDescent="0.3">
      <c r="A37" s="34" t="s">
        <v>134</v>
      </c>
      <c r="B37" s="34" t="s">
        <v>135</v>
      </c>
      <c r="C37" s="34" t="s">
        <v>136</v>
      </c>
      <c r="D37" s="34" t="s">
        <v>137</v>
      </c>
      <c r="E37" s="34" t="s">
        <v>138</v>
      </c>
      <c r="F37" s="34" t="s">
        <v>139</v>
      </c>
    </row>
    <row r="38" spans="1:12" ht="28.05" customHeight="1" x14ac:dyDescent="0.3">
      <c r="A38" s="35" t="s">
        <v>59</v>
      </c>
      <c r="B38" s="36" t="s">
        <v>140</v>
      </c>
      <c r="C38" s="36" t="s">
        <v>141</v>
      </c>
      <c r="D38" s="36" t="s">
        <v>142</v>
      </c>
      <c r="E38" s="36" t="s">
        <v>143</v>
      </c>
      <c r="F38" s="36" t="s">
        <v>144</v>
      </c>
    </row>
    <row r="39" spans="1:12" ht="28.05" customHeight="1" x14ac:dyDescent="0.3">
      <c r="A39" s="35" t="s">
        <v>60</v>
      </c>
      <c r="B39" s="36" t="s">
        <v>145</v>
      </c>
      <c r="C39" s="36" t="s">
        <v>141</v>
      </c>
      <c r="D39" s="36" t="s">
        <v>142</v>
      </c>
      <c r="E39" s="36" t="s">
        <v>143</v>
      </c>
      <c r="F39" s="36" t="s">
        <v>144</v>
      </c>
    </row>
    <row r="40" spans="1:12" ht="28.05" customHeight="1" x14ac:dyDescent="0.3">
      <c r="A40" s="37" t="s">
        <v>61</v>
      </c>
      <c r="B40" s="38" t="s">
        <v>146</v>
      </c>
      <c r="C40" s="38" t="s">
        <v>147</v>
      </c>
      <c r="D40" s="38" t="s">
        <v>148</v>
      </c>
      <c r="E40" s="38" t="s">
        <v>143</v>
      </c>
      <c r="F40" s="38" t="s">
        <v>144</v>
      </c>
    </row>
    <row r="41" spans="1:12" ht="28.05" customHeight="1" x14ac:dyDescent="0.3">
      <c r="A41" s="37" t="s">
        <v>62</v>
      </c>
      <c r="B41" s="38" t="s">
        <v>149</v>
      </c>
      <c r="C41" s="38" t="s">
        <v>147</v>
      </c>
      <c r="D41" s="38" t="s">
        <v>150</v>
      </c>
      <c r="E41" s="38" t="s">
        <v>151</v>
      </c>
      <c r="F41" s="38" t="s">
        <v>144</v>
      </c>
    </row>
    <row r="42" spans="1:12" ht="28.05" customHeight="1" x14ac:dyDescent="0.3">
      <c r="A42" s="39" t="s">
        <v>63</v>
      </c>
      <c r="B42" s="40" t="s">
        <v>152</v>
      </c>
      <c r="C42" s="40" t="s">
        <v>153</v>
      </c>
      <c r="D42" s="40" t="s">
        <v>154</v>
      </c>
      <c r="E42" s="40" t="s">
        <v>151</v>
      </c>
      <c r="F42" s="40" t="s">
        <v>144</v>
      </c>
    </row>
    <row r="43" spans="1:12" ht="28.05" customHeight="1" x14ac:dyDescent="0.3">
      <c r="A43" s="39" t="s">
        <v>64</v>
      </c>
      <c r="B43" s="40" t="s">
        <v>155</v>
      </c>
      <c r="C43" s="40" t="s">
        <v>153</v>
      </c>
      <c r="D43" s="40" t="s">
        <v>156</v>
      </c>
      <c r="E43" s="40" t="s">
        <v>157</v>
      </c>
      <c r="F43" s="40" t="s">
        <v>158</v>
      </c>
    </row>
    <row r="44" spans="1:12" ht="28.05" customHeight="1" x14ac:dyDescent="0.3">
      <c r="A44" s="39" t="s">
        <v>65</v>
      </c>
      <c r="B44" s="40" t="s">
        <v>159</v>
      </c>
      <c r="C44" s="40" t="s">
        <v>153</v>
      </c>
      <c r="D44" s="40" t="s">
        <v>160</v>
      </c>
      <c r="E44" s="40" t="s">
        <v>157</v>
      </c>
      <c r="F44" s="40" t="s">
        <v>161</v>
      </c>
    </row>
    <row r="45" spans="1:12" ht="28.05" customHeight="1" x14ac:dyDescent="0.3">
      <c r="A45" s="41" t="s">
        <v>66</v>
      </c>
      <c r="B45" s="42" t="s">
        <v>162</v>
      </c>
      <c r="C45" s="42" t="s">
        <v>163</v>
      </c>
      <c r="D45" s="42" t="s">
        <v>164</v>
      </c>
      <c r="E45" s="42" t="s">
        <v>157</v>
      </c>
      <c r="F45" s="42" t="s">
        <v>161</v>
      </c>
    </row>
    <row r="46" spans="1:12" ht="28.05" customHeight="1" x14ac:dyDescent="0.3">
      <c r="A46" s="41" t="s">
        <v>67</v>
      </c>
      <c r="B46" s="42" t="s">
        <v>165</v>
      </c>
      <c r="C46" s="42" t="s">
        <v>163</v>
      </c>
      <c r="D46" s="42" t="s">
        <v>166</v>
      </c>
      <c r="E46" s="42" t="s">
        <v>157</v>
      </c>
      <c r="F46" s="42" t="s">
        <v>161</v>
      </c>
    </row>
    <row r="47" spans="1:12" ht="28.05" customHeight="1" x14ac:dyDescent="0.3">
      <c r="A47" s="43" t="s">
        <v>68</v>
      </c>
      <c r="B47" s="44" t="s">
        <v>167</v>
      </c>
      <c r="C47" s="44" t="s">
        <v>168</v>
      </c>
      <c r="D47" s="44" t="s">
        <v>169</v>
      </c>
      <c r="E47" s="44" t="s">
        <v>151</v>
      </c>
      <c r="F47" s="44" t="s">
        <v>161</v>
      </c>
    </row>
    <row r="48" spans="1:12" ht="28.05" customHeight="1" x14ac:dyDescent="0.3">
      <c r="A48" s="43" t="s">
        <v>69</v>
      </c>
      <c r="B48" s="44" t="s">
        <v>170</v>
      </c>
      <c r="C48" s="44" t="s">
        <v>168</v>
      </c>
      <c r="D48" s="44" t="s">
        <v>171</v>
      </c>
      <c r="E48" s="44" t="s">
        <v>151</v>
      </c>
      <c r="F48" s="44" t="s">
        <v>172</v>
      </c>
    </row>
    <row r="49" spans="1:6" ht="28.05" customHeight="1" x14ac:dyDescent="0.3">
      <c r="A49" s="43" t="s">
        <v>70</v>
      </c>
      <c r="B49" s="44" t="s">
        <v>173</v>
      </c>
      <c r="C49" s="44" t="s">
        <v>168</v>
      </c>
      <c r="D49" s="44" t="s">
        <v>174</v>
      </c>
      <c r="E49" s="44" t="s">
        <v>143</v>
      </c>
      <c r="F49" s="44" t="s">
        <v>144</v>
      </c>
    </row>
    <row r="51" spans="1:6" ht="34.950000000000003" customHeight="1" x14ac:dyDescent="0.3">
      <c r="A51" s="49" t="s">
        <v>175</v>
      </c>
      <c r="B51" s="46"/>
      <c r="C51" s="46"/>
      <c r="D51" s="46"/>
      <c r="E51" s="46"/>
      <c r="F51" s="46"/>
    </row>
  </sheetData>
  <mergeCells count="6">
    <mergeCell ref="A2:L2"/>
    <mergeCell ref="A51:F51"/>
    <mergeCell ref="A36:F36"/>
    <mergeCell ref="A1:L1"/>
    <mergeCell ref="A18:L18"/>
    <mergeCell ref="A34:L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zoomScaleNormal="100" workbookViewId="0"/>
  </sheetViews>
  <sheetFormatPr baseColWidth="10" defaultColWidth="8.6640625" defaultRowHeight="14.4" x14ac:dyDescent="0.3"/>
  <cols>
    <col min="1" max="1" width="42" customWidth="1"/>
    <col min="2" max="9" width="18" customWidth="1"/>
  </cols>
  <sheetData>
    <row r="1" spans="1:9" ht="27.75" customHeight="1" x14ac:dyDescent="0.3">
      <c r="A1" s="47" t="s">
        <v>176</v>
      </c>
      <c r="B1" s="46"/>
      <c r="C1" s="46"/>
      <c r="D1" s="46"/>
      <c r="E1" s="46"/>
      <c r="F1" s="46"/>
      <c r="G1" s="46"/>
    </row>
    <row r="2" spans="1:9" ht="15" customHeight="1" x14ac:dyDescent="0.3">
      <c r="A2" s="48" t="s">
        <v>177</v>
      </c>
      <c r="B2" s="46"/>
      <c r="C2" s="46"/>
      <c r="D2" s="46"/>
      <c r="E2" s="46"/>
      <c r="F2" s="46"/>
      <c r="G2" s="46"/>
    </row>
    <row r="3" spans="1:9" ht="15" customHeight="1" x14ac:dyDescent="0.3">
      <c r="A3" s="9" t="s">
        <v>178</v>
      </c>
      <c r="B3" s="9" t="s">
        <v>179</v>
      </c>
      <c r="C3" s="9" t="s">
        <v>180</v>
      </c>
      <c r="D3" s="9" t="s">
        <v>181</v>
      </c>
      <c r="E3" s="9" t="s">
        <v>35</v>
      </c>
      <c r="F3" s="9" t="s">
        <v>182</v>
      </c>
      <c r="G3" s="9" t="s">
        <v>183</v>
      </c>
      <c r="H3" s="9" t="s">
        <v>10</v>
      </c>
      <c r="I3" s="9" t="s">
        <v>184</v>
      </c>
    </row>
    <row r="4" spans="1:9" ht="15" customHeight="1" x14ac:dyDescent="0.3">
      <c r="A4" s="10" t="s">
        <v>185</v>
      </c>
      <c r="B4" s="22">
        <v>1</v>
      </c>
      <c r="C4" s="22">
        <v>1.2</v>
      </c>
      <c r="D4" s="22">
        <v>1.3</v>
      </c>
      <c r="E4" s="22">
        <v>1.4</v>
      </c>
      <c r="F4" s="22">
        <v>2.1</v>
      </c>
      <c r="G4" s="22">
        <v>2.4</v>
      </c>
      <c r="H4" s="22">
        <v>2.9</v>
      </c>
      <c r="I4" s="22">
        <v>3.5</v>
      </c>
    </row>
    <row r="5" spans="1:9" ht="15" customHeight="1" x14ac:dyDescent="0.3">
      <c r="A5" s="12" t="s">
        <v>186</v>
      </c>
      <c r="B5" s="13"/>
      <c r="C5" s="13"/>
      <c r="D5" s="13"/>
      <c r="E5" s="13"/>
      <c r="F5" s="13"/>
      <c r="G5" s="13"/>
      <c r="H5" s="13" t="s">
        <v>187</v>
      </c>
      <c r="I5" s="13" t="s">
        <v>97</v>
      </c>
    </row>
    <row r="6" spans="1:9" ht="28.05" customHeight="1" x14ac:dyDescent="0.3">
      <c r="A6" s="33" t="s">
        <v>188</v>
      </c>
      <c r="B6" s="52" t="s">
        <v>189</v>
      </c>
      <c r="C6" s="46"/>
      <c r="D6" s="46"/>
      <c r="E6" s="46"/>
      <c r="F6" s="46"/>
      <c r="G6" s="46"/>
      <c r="H6" s="46"/>
      <c r="I6" s="46"/>
    </row>
    <row r="7" spans="1:9" ht="40.049999999999997" customHeight="1" x14ac:dyDescent="0.3">
      <c r="A7" s="27" t="s">
        <v>190</v>
      </c>
      <c r="B7" s="51" t="s">
        <v>191</v>
      </c>
      <c r="C7" s="46"/>
      <c r="D7" s="46"/>
      <c r="E7" s="46"/>
      <c r="F7" s="46"/>
      <c r="G7" s="46"/>
      <c r="H7" s="46"/>
      <c r="I7" s="46"/>
    </row>
    <row r="8" spans="1:9" ht="15" customHeight="1" x14ac:dyDescent="0.3">
      <c r="A8" s="48" t="s">
        <v>192</v>
      </c>
      <c r="B8" s="46"/>
      <c r="C8" s="46"/>
      <c r="D8" s="46"/>
      <c r="E8" s="46"/>
      <c r="F8" s="46"/>
      <c r="G8" s="46"/>
      <c r="H8" s="46"/>
      <c r="I8" s="46"/>
    </row>
    <row r="9" spans="1:9" ht="15" customHeight="1" x14ac:dyDescent="0.3">
      <c r="A9" s="9" t="s">
        <v>58</v>
      </c>
      <c r="B9" s="9" t="s">
        <v>193</v>
      </c>
    </row>
    <row r="10" spans="1:9" ht="15" customHeight="1" x14ac:dyDescent="0.3">
      <c r="A10" s="10" t="s">
        <v>194</v>
      </c>
      <c r="B10" s="11" t="s">
        <v>195</v>
      </c>
    </row>
    <row r="11" spans="1:9" ht="15" customHeight="1" x14ac:dyDescent="0.3">
      <c r="A11" s="12" t="s">
        <v>196</v>
      </c>
      <c r="B11" s="13" t="s">
        <v>197</v>
      </c>
    </row>
    <row r="12" spans="1:9" ht="15" customHeight="1" x14ac:dyDescent="0.3">
      <c r="A12" s="10" t="s">
        <v>198</v>
      </c>
      <c r="B12" s="11" t="s">
        <v>199</v>
      </c>
    </row>
    <row r="13" spans="1:9" ht="15" customHeight="1" x14ac:dyDescent="0.3">
      <c r="A13" s="12" t="s">
        <v>200</v>
      </c>
      <c r="B13" s="13" t="s">
        <v>199</v>
      </c>
    </row>
    <row r="14" spans="1:9" ht="15" customHeight="1" x14ac:dyDescent="0.3">
      <c r="A14" s="10" t="s">
        <v>201</v>
      </c>
      <c r="B14" s="11" t="s">
        <v>199</v>
      </c>
    </row>
    <row r="15" spans="1:9" ht="15" customHeight="1" x14ac:dyDescent="0.3">
      <c r="A15" s="12" t="s">
        <v>202</v>
      </c>
      <c r="B15" s="13" t="s">
        <v>203</v>
      </c>
    </row>
    <row r="16" spans="1:9" ht="15" customHeight="1" x14ac:dyDescent="0.3">
      <c r="A16" s="10" t="s">
        <v>204</v>
      </c>
      <c r="B16" s="11" t="s">
        <v>205</v>
      </c>
    </row>
    <row r="18" spans="1:9" ht="15" customHeight="1" x14ac:dyDescent="0.3">
      <c r="A18" s="48" t="s">
        <v>206</v>
      </c>
      <c r="B18" s="46"/>
      <c r="C18" s="46"/>
      <c r="D18" s="46"/>
      <c r="E18" s="46"/>
      <c r="F18" s="46"/>
      <c r="G18" s="46"/>
      <c r="H18" s="46"/>
      <c r="I18" s="46"/>
    </row>
    <row r="19" spans="1:9" ht="15" customHeight="1" x14ac:dyDescent="0.3">
      <c r="A19" s="9" t="s">
        <v>58</v>
      </c>
      <c r="B19" s="9" t="s">
        <v>179</v>
      </c>
      <c r="C19" s="9" t="s">
        <v>183</v>
      </c>
    </row>
    <row r="20" spans="1:9" ht="15" customHeight="1" x14ac:dyDescent="0.3">
      <c r="A20" s="10" t="s">
        <v>207</v>
      </c>
      <c r="B20" s="11">
        <v>127022</v>
      </c>
      <c r="C20" s="11">
        <v>200665</v>
      </c>
    </row>
    <row r="21" spans="1:9" ht="15" customHeight="1" x14ac:dyDescent="0.3">
      <c r="A21" s="12" t="s">
        <v>208</v>
      </c>
      <c r="B21" s="13">
        <v>451850</v>
      </c>
      <c r="C21" s="13">
        <v>474344</v>
      </c>
    </row>
    <row r="22" spans="1:9" ht="15" customHeight="1" x14ac:dyDescent="0.3">
      <c r="A22" s="10" t="s">
        <v>209</v>
      </c>
      <c r="B22" s="11">
        <v>578872</v>
      </c>
      <c r="C22" s="11">
        <v>675009</v>
      </c>
    </row>
    <row r="23" spans="1:9" ht="15" customHeight="1" x14ac:dyDescent="0.3">
      <c r="A23" s="12" t="s">
        <v>186</v>
      </c>
      <c r="B23" s="13" t="s">
        <v>210</v>
      </c>
      <c r="C23" s="13" t="s">
        <v>211</v>
      </c>
    </row>
    <row r="24" spans="1:9" ht="15" customHeight="1" x14ac:dyDescent="0.3">
      <c r="A24" s="10" t="s">
        <v>212</v>
      </c>
      <c r="B24" s="11" t="s">
        <v>213</v>
      </c>
      <c r="C24" s="11" t="s">
        <v>211</v>
      </c>
    </row>
    <row r="25" spans="1:9" ht="15" customHeight="1" x14ac:dyDescent="0.3">
      <c r="A25" s="12" t="s">
        <v>214</v>
      </c>
      <c r="B25" s="13">
        <v>141320</v>
      </c>
      <c r="C25" s="13">
        <v>212851</v>
      </c>
    </row>
    <row r="26" spans="1:9" ht="15" customHeight="1" x14ac:dyDescent="0.3">
      <c r="A26" s="10" t="s">
        <v>215</v>
      </c>
      <c r="B26" s="11">
        <v>11</v>
      </c>
      <c r="C26" s="11">
        <v>4846</v>
      </c>
    </row>
    <row r="28" spans="1:9" ht="45" customHeight="1" x14ac:dyDescent="0.3">
      <c r="A28" s="45" t="s">
        <v>216</v>
      </c>
      <c r="B28" s="46"/>
      <c r="C28" s="46"/>
      <c r="D28" s="46"/>
      <c r="E28" s="46"/>
      <c r="F28" s="46"/>
      <c r="G28" s="46"/>
      <c r="H28" s="46"/>
      <c r="I28" s="46"/>
    </row>
  </sheetData>
  <mergeCells count="7">
    <mergeCell ref="A1:G1"/>
    <mergeCell ref="B7:I7"/>
    <mergeCell ref="A28:I28"/>
    <mergeCell ref="B6:I6"/>
    <mergeCell ref="A18:I18"/>
    <mergeCell ref="A2:G2"/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910AD23A-3F36-4181-8D56-47E085ADB861}"/>
</file>

<file path=customXml/itemProps2.xml><?xml version="1.0" encoding="utf-8"?>
<ds:datastoreItem xmlns:ds="http://schemas.openxmlformats.org/officeDocument/2006/customXml" ds:itemID="{665866DD-4C43-4594-A03C-F13FD15BDCCC}"/>
</file>

<file path=customXml/itemProps3.xml><?xml version="1.0" encoding="utf-8"?>
<ds:datastoreItem xmlns:ds="http://schemas.openxmlformats.org/officeDocument/2006/customXml" ds:itemID="{DCBA3754-4AF9-4C8D-A976-DC557E7A7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Capacity Factors</vt:lpstr>
      <vt:lpstr>Demand Forecasts</vt:lpstr>
      <vt:lpstr>Historical Production</vt:lpstr>
      <vt:lpstr>Seasonality</vt:lpstr>
      <vt:lpstr>Installed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2026-03-10T21:13:19Z</dcterms:created>
  <dcterms:modified xsi:type="dcterms:W3CDTF">2026-03-10T21:59:20Z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