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clgcr.sharepoint.com/sites/Power_Systems_South_Asia_2026/Documentos compartidos/02_Data/Data Inventory/energy/"/>
    </mc:Choice>
  </mc:AlternateContent>
  <xr:revisionPtr revIDLastSave="3" documentId="11_3CC45502C1512BCF36BDD3FF0B99389D0203ED78" xr6:coauthVersionLast="47" xr6:coauthVersionMax="47" xr10:uidLastSave="{0A411DBF-F780-4E19-A631-0EEB87E1A067}"/>
  <bookViews>
    <workbookView xWindow="-23148" yWindow="-1572" windowWidth="23256" windowHeight="12456" tabRatio="500" activeTab="1" xr2:uid="{00000000-000D-0000-FFFF-FFFF00000000}"/>
  </bookViews>
  <sheets>
    <sheet name="1_Historical_Generation" sheetId="1" r:id="rId1"/>
    <sheet name="2_Capacity_Factors" sheetId="2" r:id="rId2"/>
    <sheet name="3_Demand" sheetId="3" r:id="rId3"/>
    <sheet name="4_Seasonality" sheetId="4" r:id="rId4"/>
    <sheet name="5_System_Overview" sheetId="5" r:id="rId5"/>
    <sheet name="6_IRENA_Capacity_Factors" sheetId="6" r:id="rId6"/>
    <sheet name="7_IRENA_Historical_Production" sheetId="7" r:id="rId7"/>
    <sheet name="8_IRENA_Demand" sheetId="8" r:id="rId8"/>
    <sheet name="9_IRENA_RE_Resource_Potential" sheetId="9" r:id="rId9"/>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G28" i="4" l="1"/>
  <c r="D28" i="4"/>
  <c r="G27" i="4"/>
  <c r="D27" i="4"/>
  <c r="G26" i="4"/>
  <c r="D26" i="4"/>
  <c r="G25" i="4"/>
  <c r="D25" i="4"/>
  <c r="G24" i="4"/>
  <c r="D24" i="4"/>
  <c r="G23" i="4"/>
  <c r="D23" i="4"/>
  <c r="G22" i="4"/>
  <c r="D22" i="4"/>
  <c r="G21" i="4"/>
  <c r="D21" i="4"/>
  <c r="G20" i="4"/>
  <c r="D20" i="4"/>
  <c r="G19" i="4"/>
  <c r="D19" i="4"/>
  <c r="G18" i="4"/>
  <c r="D18" i="4"/>
  <c r="G17" i="4"/>
  <c r="D17" i="4"/>
  <c r="G16" i="4"/>
  <c r="D16" i="4"/>
  <c r="G15" i="4"/>
  <c r="D15" i="4"/>
  <c r="G14" i="4"/>
  <c r="D14" i="4"/>
  <c r="G13" i="4"/>
  <c r="D13" i="4"/>
  <c r="G12" i="4"/>
  <c r="D12" i="4"/>
  <c r="G11" i="4"/>
  <c r="D11" i="4"/>
  <c r="G10" i="4"/>
  <c r="D10" i="4"/>
  <c r="G9" i="4"/>
  <c r="D9" i="4"/>
  <c r="G8" i="4"/>
  <c r="D8" i="4"/>
  <c r="G7" i="4"/>
  <c r="D7" i="4"/>
  <c r="G6" i="4"/>
  <c r="D6" i="4"/>
  <c r="G5" i="4"/>
  <c r="D5" i="4"/>
  <c r="G16" i="3"/>
  <c r="G15" i="3"/>
  <c r="G14" i="3"/>
  <c r="G13" i="3"/>
  <c r="H10" i="2"/>
  <c r="H9" i="2"/>
  <c r="H8" i="2"/>
  <c r="H7" i="2"/>
  <c r="H6" i="2"/>
  <c r="H5" i="2"/>
  <c r="H4" i="2"/>
  <c r="H8" i="1"/>
  <c r="H7" i="1"/>
  <c r="H6" i="1"/>
  <c r="H5" i="1"/>
  <c r="H4" i="1"/>
  <c r="H3" i="1"/>
</calcChain>
</file>

<file path=xl/sharedStrings.xml><?xml version="1.0" encoding="utf-8"?>
<sst xmlns="http://schemas.openxmlformats.org/spreadsheetml/2006/main" count="684" uniqueCount="383">
  <si>
    <t>BHUTAN – HISTORICAL ANNUAL GENERATION BY PLANT (MU = Million Units = GWh)</t>
  </si>
  <si>
    <t>Plant</t>
  </si>
  <si>
    <t>Installed
Capacity (MW)</t>
  </si>
  <si>
    <t>2020</t>
  </si>
  <si>
    <t>2021</t>
  </si>
  <si>
    <t>2022</t>
  </si>
  <si>
    <t>2023</t>
  </si>
  <si>
    <t>2024</t>
  </si>
  <si>
    <t>CAGR
2020–2024</t>
  </si>
  <si>
    <t>Notes</t>
  </si>
  <si>
    <t>Source</t>
  </si>
  <si>
    <t>Chhukha HP</t>
  </si>
  <si>
    <t>Run-of-river on Wangchhu. 4×84 MW.</t>
  </si>
  <si>
    <t>BPC Power Data Book 2024, Table 2.1 (p. 26)</t>
  </si>
  <si>
    <t>Tala HP</t>
  </si>
  <si>
    <t>Run-of-river on Wangchhu. 6×170 MW.</t>
  </si>
  <si>
    <t>Kurichhu HP</t>
  </si>
  <si>
    <t>Run-of-river. 4×15 MW.</t>
  </si>
  <si>
    <t>Basochhu HP</t>
  </si>
  <si>
    <t>2×12 MW + 2×20 MW. All 5 years present in source.</t>
  </si>
  <si>
    <t>Mangdechhu HP</t>
  </si>
  <si>
    <t>4×180 MW. Commissioned 2019.</t>
  </si>
  <si>
    <t>Dagachhu HP</t>
  </si>
  <si>
    <t>2×126 MW. Run-of-river.</t>
  </si>
  <si>
    <t>Nikachhu HP</t>
  </si>
  <si>
    <t>2×59 MW. Commenced 2024.</t>
  </si>
  <si>
    <t>PHP-II</t>
  </si>
  <si>
    <t>6×170 MW. Generation commenced 2024 (partial year).</t>
  </si>
  <si>
    <t>TOTAL (DGPC)</t>
  </si>
  <si>
    <t>Sum of all DGPC plants.</t>
  </si>
  <si>
    <t>EXPORT TO INDIA BY PLANT (MU)</t>
  </si>
  <si>
    <t>BPC Power Data Book 2024, Tables 2.1 &amp; 3.4 (pp. 26, 29)</t>
  </si>
  <si>
    <t>Zero export in 2024</t>
  </si>
  <si>
    <t>Export only from 2023 per Table 3.4. 2020–2022 = blank in source.</t>
  </si>
  <si>
    <t>Export from Table 3.4 (authoritative wheeling table). Table 2.1 inline shows 2,020.00 for 2020 — likely a formatting/OCR issue in the source PDF.</t>
  </si>
  <si>
    <t>Commenced 2024</t>
  </si>
  <si>
    <t>TOTAL Wheeled</t>
  </si>
  <si>
    <t>BPC wheeling total</t>
  </si>
  <si>
    <t>BHUTAN – DERIVED ANNUAL CAPACITY FACTORS BY PLANT (PLF)</t>
  </si>
  <si>
    <t>NOTE: Capacity factors derived by Claude from generation (MU) ÷ (Installed MW × 8,760 h/yr). No monthly capacity factors exist in source documents. PSMP 2040 cites Chhukha PLF ≈ 63%, Tala PLF ≈ 54% as historical reference values (p. 26 PSMP).</t>
  </si>
  <si>
    <t>CF 2020</t>
  </si>
  <si>
    <t>CF 2021</t>
  </si>
  <si>
    <t>CF 2022</t>
  </si>
  <si>
    <t>CF 2023</t>
  </si>
  <si>
    <t>CF 2024</t>
  </si>
  <si>
    <t>Avg CF
2020–2024</t>
  </si>
  <si>
    <t>Source – Generation Data</t>
  </si>
  <si>
    <t>BPC Power Data Book 2024, Table 2.1 (p. 26); capacity from same table</t>
  </si>
  <si>
    <t>CROSS-CHECK: PSMP 2040 does NOT explicitly state 63%/54% as text values. These are DERIVED values calculated by the JICA Survey Team and cited in context. The numbers 63%/54% appear implicitly consistent with PSMP generation assumptions but the PSMP does not tabulate them explicitly. Derived CFs above (Sheet 2) are the primary reference. Source for generation data: BPC PDB 2024, Table 2.1, p. 26.</t>
  </si>
  <si>
    <t>BHUTAN – DEMAND: HISTORICAL (2008–2024) &amp; FORECAST (2030)</t>
  </si>
  <si>
    <t>A. DOMESTIC DEMAND BY CATEGORY – GWh/year (Source: PSMP 2040, Table 4-1, p. 54)</t>
  </si>
  <si>
    <t>Category</t>
  </si>
  <si>
    <t>2008</t>
  </si>
  <si>
    <t>2009</t>
  </si>
  <si>
    <t>2010</t>
  </si>
  <si>
    <t>2011</t>
  </si>
  <si>
    <t>2012</t>
  </si>
  <si>
    <t>2013</t>
  </si>
  <si>
    <t>2014</t>
  </si>
  <si>
    <t>2015</t>
  </si>
  <si>
    <t>2016</t>
  </si>
  <si>
    <t>2017</t>
  </si>
  <si>
    <t>2018</t>
  </si>
  <si>
    <t>CAGR
2008–18</t>
  </si>
  <si>
    <t>LV</t>
  </si>
  <si>
    <t>PSMP 2040, Table 4-1, p. 54</t>
  </si>
  <si>
    <t>LV Bulk</t>
  </si>
  <si>
    <t>MV Industries</t>
  </si>
  <si>
    <t>HV Industries</t>
  </si>
  <si>
    <t>TOTAL</t>
  </si>
  <si>
    <t>B. DOMESTIC ENERGY SALES BY VOLTAGE CLASS – MU/year (Source: BPC PDB 2024, Table 1.0, p. 2–3)</t>
  </si>
  <si>
    <t>CAGR
2020–24</t>
  </si>
  <si>
    <t>LV Total (MU)</t>
  </si>
  <si>
    <t>BPC PDB 2024, Table 1.0, p. 2</t>
  </si>
  <si>
    <t>Medium Voltage (MU)</t>
  </si>
  <si>
    <t>High Voltage (MU)</t>
  </si>
  <si>
    <t>TOTAL Sales (MU)</t>
  </si>
  <si>
    <t>C. DEMAND FORECAST (PSMP 2040) – Source: Power System Master Plan 2040, Ch.4, pp. 53–54</t>
  </si>
  <si>
    <t>Parameter</t>
  </si>
  <si>
    <t>2018 (Actual)</t>
  </si>
  <si>
    <t>2030 (Forecast)</t>
  </si>
  <si>
    <t>Peak Demand (MW)</t>
  </si>
  <si>
    <t>Annual growth 7.1% avg 2018–2030</t>
  </si>
  <si>
    <t>PSMP 2040, Chapter 4, p. 54</t>
  </si>
  <si>
    <t>Annual Energy (GWh)</t>
  </si>
  <si>
    <t>Annual Load Factor (%)</t>
  </si>
  <si>
    <t>Assumed gradual increase</t>
  </si>
  <si>
    <t>D. NATIONAL COINCIDENT PEAK LOAD (MW) – Source: BPC PDB 2024, Table 4.1, p. 30</t>
  </si>
  <si>
    <t>Year</t>
  </si>
  <si>
    <t>Peak Load (MW)</t>
  </si>
  <si>
    <t>Date of Peak</t>
  </si>
  <si>
    <t>Time of Peak</t>
  </si>
  <si>
    <t>24-Dec-2020</t>
  </si>
  <si>
    <t>15:00</t>
  </si>
  <si>
    <t>BPC PDB 2024, Table 4.1, p. 30</t>
  </si>
  <si>
    <t>27-Dec-2021</t>
  </si>
  <si>
    <t>18:02</t>
  </si>
  <si>
    <t>28-Dec-2022</t>
  </si>
  <si>
    <t>18:00</t>
  </si>
  <si>
    <t>30-Dec-2023</t>
  </si>
  <si>
    <t>25-Dec-2024</t>
  </si>
  <si>
    <t>18:38</t>
  </si>
  <si>
    <t>BHUTAN – SEASONALITY: HYDRO SUPPLY PATTERN &amp; DEMAND LOAD PROFILES</t>
  </si>
  <si>
    <t>A. QUALITATIVE SEASONALITY CONTEXT (Source: PSMP 2040, Ch. 4, pp. 55–56 &amp; 69)  |  Winter river flow drops to &lt;20% of summer peak. February = minimum. Firm power defined at 90th-percentile February flow. Run-of-river Firm Power ≈ 10% of installed capacity.</t>
  </si>
  <si>
    <t>B. DAILY LOAD PROFILE – Thimphu &amp; Phuentsholing: Summer (Jun-2024) vs Winter (Dec-2024)  |  Source: BPC PDB 2024, Table 5.20, p. 52</t>
  </si>
  <si>
    <t>Hour</t>
  </si>
  <si>
    <t>Thimphu Summer
(Jun-2024) MW</t>
  </si>
  <si>
    <t>Thimphu Winter
(Dec-2024) MW</t>
  </si>
  <si>
    <t>Winter/Summer
Ratio (Thimphu)</t>
  </si>
  <si>
    <t>Phuentsholing Summer
(Jun-2024) MW</t>
  </si>
  <si>
    <t>Phuentsholing Winter
(Dec-2024) MW</t>
  </si>
  <si>
    <t>Winter/Summer
Ratio (Phuentshol.)</t>
  </si>
  <si>
    <t>00:00</t>
  </si>
  <si>
    <t>BPC PDB 2024, Table 5.20, p. 52</t>
  </si>
  <si>
    <t>01:00</t>
  </si>
  <si>
    <t>02:00</t>
  </si>
  <si>
    <t>03:00</t>
  </si>
  <si>
    <t>04:00</t>
  </si>
  <si>
    <t>05:00</t>
  </si>
  <si>
    <t>06:00</t>
  </si>
  <si>
    <t>07:00</t>
  </si>
  <si>
    <t>08:00</t>
  </si>
  <si>
    <t>09:00</t>
  </si>
  <si>
    <t>10:00</t>
  </si>
  <si>
    <t>11:00</t>
  </si>
  <si>
    <t>12:00</t>
  </si>
  <si>
    <t>13:00</t>
  </si>
  <si>
    <t>14:00</t>
  </si>
  <si>
    <t>16:00</t>
  </si>
  <si>
    <t>17:00</t>
  </si>
  <si>
    <t>19:00</t>
  </si>
  <si>
    <t>20:00</t>
  </si>
  <si>
    <t>21:00</t>
  </si>
  <si>
    <t>22:00</t>
  </si>
  <si>
    <t>23:00</t>
  </si>
  <si>
    <t>C. MONTHLY HYDRO SEASONALITY – Qualitative (Source: PSMP 2040, Ch.4, pp. 55–56 &amp; 69; BPSO Annual Report 2017 as cited in PSMP)</t>
  </si>
  <si>
    <t>Month</t>
  </si>
  <si>
    <t>Season</t>
  </si>
  <si>
    <t>Relative River Flow</t>
  </si>
  <si>
    <t>Hydro Supply
Capacity</t>
  </si>
  <si>
    <t>Demand
Pattern</t>
  </si>
  <si>
    <t>Key Notes</t>
  </si>
  <si>
    <t>January</t>
  </si>
  <si>
    <t>Winter / Dry</t>
  </si>
  <si>
    <t>Very Low (~10–20% of peak)</t>
  </si>
  <si>
    <t>Very Low (Firm Power)</t>
  </si>
  <si>
    <t>High (peak heating)</t>
  </si>
  <si>
    <t>Supply insufficient; imports from India required</t>
  </si>
  <si>
    <t>PSMP 2040, pp. 55–56</t>
  </si>
  <si>
    <t>February</t>
  </si>
  <si>
    <t>Lowest of year</t>
  </si>
  <si>
    <t>Lowest (Firm Power)</t>
  </si>
  <si>
    <t>February = design month for Firm Power (90th pct flow)</t>
  </si>
  <si>
    <t>PSMP 2040, pp. 55–56 &amp; 69</t>
  </si>
  <si>
    <t>March</t>
  </si>
  <si>
    <t>Late Winter</t>
  </si>
  <si>
    <t>Very Low</t>
  </si>
  <si>
    <t>High</t>
  </si>
  <si>
    <t>Imports from India continue</t>
  </si>
  <si>
    <t>PSMP 2040, p. 55</t>
  </si>
  <si>
    <t>April</t>
  </si>
  <si>
    <t>Pre-Monsoon</t>
  </si>
  <si>
    <t>Low–Moderate</t>
  </si>
  <si>
    <t>Moderate</t>
  </si>
  <si>
    <t>Transition month</t>
  </si>
  <si>
    <t>May</t>
  </si>
  <si>
    <t>Increasing</t>
  </si>
  <si>
    <t>Snow-melt contribution increases</t>
  </si>
  <si>
    <t>PSMP 2040, pp. 55–56 (general dry/wet season description)</t>
  </si>
  <si>
    <t>June</t>
  </si>
  <si>
    <t>Monsoon onset</t>
  </si>
  <si>
    <t>High – rapidly increasing</t>
  </si>
  <si>
    <t>Rainy season begins</t>
  </si>
  <si>
    <t>July</t>
  </si>
  <si>
    <t>Monsoon Peak</t>
  </si>
  <si>
    <t>Peak</t>
  </si>
  <si>
    <t>Near-Maximum</t>
  </si>
  <si>
    <t>Overflow losses at run-of-river plants</t>
  </si>
  <si>
    <t>PSMP 2040, pp. 55–56 &amp; 65 (E-flow/overflow in rainy season context)</t>
  </si>
  <si>
    <t>August</t>
  </si>
  <si>
    <t>Maximum</t>
  </si>
  <si>
    <t>Moderate–Low</t>
  </si>
  <si>
    <t>Highest generation months; large export surplus</t>
  </si>
  <si>
    <t>September</t>
  </si>
  <si>
    <t>Late Monsoon</t>
  </si>
  <si>
    <t>High – declining</t>
  </si>
  <si>
    <t>Monsoon retreating</t>
  </si>
  <si>
    <t>October</t>
  </si>
  <si>
    <t>Post-Monsoon</t>
  </si>
  <si>
    <t>Moderate–Declining</t>
  </si>
  <si>
    <t>Moderate–High</t>
  </si>
  <si>
    <t>Transition to dry season</t>
  </si>
  <si>
    <t>November</t>
  </si>
  <si>
    <t>Autumn / Dry</t>
  </si>
  <si>
    <t>Low</t>
  </si>
  <si>
    <t>High – increasing</t>
  </si>
  <si>
    <t>Heating demand rising</t>
  </si>
  <si>
    <t>PSMP 2040, p. 53</t>
  </si>
  <si>
    <t>December</t>
  </si>
  <si>
    <t>Highest of year</t>
  </si>
  <si>
    <t>National peak load occurs late December (BPC data)</t>
  </si>
  <si>
    <t>Legend: Blue = Winter/Dry season (low hydro, high demand) | Green = Monsoon season (high hydro, export surplus)</t>
  </si>
  <si>
    <t>BHUTAN – SYSTEM ENERGY OVERVIEW (MU) 2020–2024</t>
  </si>
  <si>
    <t>Unit</t>
  </si>
  <si>
    <t>Total Energy Requirement (BPC)</t>
  </si>
  <si>
    <t>MU</t>
  </si>
  <si>
    <t>Energy Purchase from DGPC (BPC)</t>
  </si>
  <si>
    <t>Import from India (IEX)</t>
  </si>
  <si>
    <t>BPC PDB 2024, Table 3.1, p. 28 (IEX row: 2022=203.92, 2023=597.68, 2024=1,406.38). Also consistent with Table 1.0 'Import of power' row, p. 2.</t>
  </si>
  <si>
    <t>Mini/Micro Hydel Generation</t>
  </si>
  <si>
    <t>Total Energy Sales</t>
  </si>
  <si>
    <t>Energy Wheeled (Export to India)</t>
  </si>
  <si>
    <t>BPC PDB 2024, Table 3.4, p. 29</t>
  </si>
  <si>
    <t>Total DGPC Generation</t>
  </si>
  <si>
    <t>BPC PDB 2024, Table 2.1, p. 26</t>
  </si>
  <si>
    <t>Global System Losses (incl. wheeling)</t>
  </si>
  <si>
    <t>%</t>
  </si>
  <si>
    <t>BPC PDB 2024, Table 1.0, p. 3</t>
  </si>
  <si>
    <t>Distribution Losses (excl. HV)</t>
  </si>
  <si>
    <t>National Peak Demand</t>
  </si>
  <si>
    <t>MW</t>
  </si>
  <si>
    <t>Number of Customers</t>
  </si>
  <si>
    <t>count</t>
  </si>
  <si>
    <t>IRENA – BHUTAN CAPACITY FACTORS (ELECTRICITY CAPACITY UTILISATION)</t>
  </si>
  <si>
    <t>SOURCE NOTE: IRENA reports capacity utilisation = annual generation ÷ (year-end capacity × 8,760 h/yr). Only 2023 utilisation values are explicitly stated for each technology. No monthly CFs exist in this document.</t>
  </si>
  <si>
    <t>A. CAPACITY UTILISATION IN 2023 — IRENA reported values (p. 2)</t>
  </si>
  <si>
    <t>Technology</t>
  </si>
  <si>
    <t>Capacity Utilisation
2023 (%)</t>
  </si>
  <si>
    <t>Hydro / Marine</t>
  </si>
  <si>
    <t>Dominant technology; run-of-river + pondage plants</t>
  </si>
  <si>
    <t>IRENA Energy Profile – Bhutan (last updated 22 Sep 2025), p. 2</t>
  </si>
  <si>
    <t>Solar PV</t>
  </si>
  <si>
    <t>Very small installed base in 2023</t>
  </si>
  <si>
    <t>Wind</t>
  </si>
  <si>
    <t>Fossil Fuels</t>
  </si>
  <si>
    <t>Zero generation from fossil fuels in 2023</t>
  </si>
  <si>
    <t>B. INSTALLED RENEWABLE CAPACITY TREND (GW) — read from chart (p. 2)</t>
  </si>
  <si>
    <t>Values read from installed capacity trend chart bars. Bar labels are legible for 2017 (1.6 GW), 2019–2023 (2.3 GW), 2024 (2.5 GW). Renewable share LINE shows ~100% through 2022, drops to ~80% at 2023–2024.</t>
  </si>
  <si>
    <t>Total Installed
Capacity (GW)</t>
  </si>
  <si>
    <t>Renewable
Share (%)</t>
  </si>
  <si>
    <t>From chart</t>
  </si>
  <si>
    <t>Step up: Mangdechhu HP commissioned</t>
  </si>
  <si>
    <t>RE share line reaches ~80% at 2023–2024 per chart — exact year ambiguous, value read from chart axis</t>
  </si>
  <si>
    <t>+118 MW hydro (Nikachhu + PHP-II partial), +2 MW solar</t>
  </si>
  <si>
    <t>C. NET CAPACITY CHANGE IN 2024 (MW) — explicitly stated (p. 2)</t>
  </si>
  <si>
    <t>Net Change 2024 (MW)</t>
  </si>
  <si>
    <t>PHP-II and Nikachhu ramp-up</t>
  </si>
  <si>
    <t>Small addition</t>
  </si>
  <si>
    <t>No change</t>
  </si>
  <si>
    <t>Bioenergy</t>
  </si>
  <si>
    <t>Geothermal</t>
  </si>
  <si>
    <t>Non-renewable</t>
  </si>
  <si>
    <t>IRENA – BHUTAN ELECTRICITY GENERATION (TWh) 2018–2023</t>
  </si>
  <si>
    <t>SOURCE NOTE: Values read from 'Electricity generation trend' chart (p. 3). Chart shows total and renewable in TWh; all generation is renewable (100%). 2023 generation table also provided explicitly on p. 3.</t>
  </si>
  <si>
    <t>A. TOTAL ELECTRICITY GENERATION TREND (TWh) — from chart + table (p. 3)</t>
  </si>
  <si>
    <t>Total Generation
(TWh)</t>
  </si>
  <si>
    <t>Hydro/Marine
(TWh)</t>
  </si>
  <si>
    <t>Solar
(TWh)</t>
  </si>
  <si>
    <t>Wind
(TWh)</t>
  </si>
  <si>
    <t>Read from chart</t>
  </si>
  <si>
    <t>IRENA Energy Profile – Bhutan (last updated 22 Sep 2025), p. 3</t>
  </si>
  <si>
    <t>Read from chart — approx</t>
  </si>
  <si>
    <t>Explicitly stated in table p. 3: 10,536 GWh total</t>
  </si>
  <si>
    <t>Blue row = exact values from table. All other rows = approximated from chart bars.</t>
  </si>
  <si>
    <t>B. 2023 GENERATION BREAKDOWN — exact table (p. 3)</t>
  </si>
  <si>
    <t>Generation (GWh)</t>
  </si>
  <si>
    <t>Share (%)</t>
  </si>
  <si>
    <t>Hydro and Marine</t>
  </si>
  <si>
    <t>Dominant; run-of-river</t>
  </si>
  <si>
    <t>Solar</t>
  </si>
  <si>
    <t>Negligible</t>
  </si>
  <si>
    <t>Zero</t>
  </si>
  <si>
    <t>C. PER CAPITA ELECTRICITY GENERATION (kWh/person) — APPROXIMATED from chart y-axis (p. 3). No numeric labels on individual bars. Values are visual estimates only — do NOT use as precise data.</t>
  </si>
  <si>
    <t>Per Capita Generation
(kWh/person)</t>
  </si>
  <si>
    <t>VISUAL ESTIMATE from chart — no numeric label on bar</t>
  </si>
  <si>
    <t>IRENA – BHUTAN DEMAND: TFEC, SECTOR CONSUMPTION &amp; RENEWABLE SHARE</t>
  </si>
  <si>
    <t>A. TOTAL ENERGY SUPPLY (TES) — explicitly stated (p. 1)</t>
  </si>
  <si>
    <t>Non-renewable TES</t>
  </si>
  <si>
    <t>TJ</t>
  </si>
  <si>
    <t>Oil + gas + coal/others</t>
  </si>
  <si>
    <t>IRENA Energy Profile – Bhutan (last updated 22 Sep 2025), p. 1</t>
  </si>
  <si>
    <t>Renewable TES</t>
  </si>
  <si>
    <t>Dominated by hydro</t>
  </si>
  <si>
    <t>Total TES</t>
  </si>
  <si>
    <t>Renewable share of TES</t>
  </si>
  <si>
    <t>Slight decrease 2017→2022</t>
  </si>
  <si>
    <t>Imports</t>
  </si>
  <si>
    <t>Mainly oil products</t>
  </si>
  <si>
    <t>Exports</t>
  </si>
  <si>
    <t>Mainly hydroelectricity</t>
  </si>
  <si>
    <t>Net trade</t>
  </si>
  <si>
    <t>Net exporter</t>
  </si>
  <si>
    <t>Energy self-sufficiency</t>
  </si>
  <si>
    <t>ratio</t>
  </si>
  <si>
    <t>Production / TES</t>
  </si>
  <si>
    <t>B. FINAL ENERGY CONSUMPTION BY SECTOR — explicitly stated (p. 2)</t>
  </si>
  <si>
    <t>Sector</t>
  </si>
  <si>
    <t>2017 (TJ)</t>
  </si>
  <si>
    <t>2022 (TJ)</t>
  </si>
  <si>
    <t>2022 Share (%)</t>
  </si>
  <si>
    <t>Industry</t>
  </si>
  <si>
    <t>Transport</t>
  </si>
  <si>
    <t>Zero reported — likely off-road/bunkers not captured</t>
  </si>
  <si>
    <t>Households</t>
  </si>
  <si>
    <t>Largest sector</t>
  </si>
  <si>
    <t>Other</t>
  </si>
  <si>
    <t>Commercial, services, agriculture</t>
  </si>
  <si>
    <t>C. RENEWABLE TFEC TREND (PJ) — from chart (p. 2)</t>
  </si>
  <si>
    <t>Values read from bar chart. All renewable TFEC is electricity (hydro). Chart shows 2017–2022.</t>
  </si>
  <si>
    <t>Renewable TFEC
(PJ)</t>
  </si>
  <si>
    <t>Exact — numeric label visible on bar chart</t>
  </si>
  <si>
    <t>Exact — numeric label visible on bar chart (large jump due to Mangdechhu HP)</t>
  </si>
  <si>
    <t>IRENA – BHUTAN RENEWABLE RESOURCE POTENTIAL (Seasonality Context)</t>
  </si>
  <si>
    <t>NOTE: IRENA does not publish monthly generation or seasonal hydro data. This sheet records the RE resource potential indicators available in the IRENA profile, which provide context for calibrating hydro capacity factors and shaping generation profiles.</t>
  </si>
  <si>
    <t>A. SOLAR PV RESOURCE POTENTIAL — distribution across land area (p. 4)</t>
  </si>
  <si>
    <t>IMPORTANT: Bhutan and World land-area shares (%) are VISUAL ESTIMATES read from bar chart — bars have no numeric labels. Use only as qualitative indication of solar resource distribution.</t>
  </si>
  <si>
    <t>Solar Class (MWh/kWp/yr)</t>
  </si>
  <si>
    <t>Equivalent CF Range</t>
  </si>
  <si>
    <t>Bhutan Land
Area Share (%)</t>
  </si>
  <si>
    <t>World Land
Area Share (%)</t>
  </si>
  <si>
    <t>&lt;1.2</t>
  </si>
  <si>
    <t>&lt;13.7%</t>
  </si>
  <si>
    <t>~0%</t>
  </si>
  <si>
    <t>~20%</t>
  </si>
  <si>
    <t>Bhutan has negligible land in lowest class</t>
  </si>
  <si>
    <t>IRENA Energy Profile – Bhutan (last updated 22 Sep 2025), p. 4</t>
  </si>
  <si>
    <t>1.2–1.4</t>
  </si>
  <si>
    <t>13.7–16.0%</t>
  </si>
  <si>
    <t>Moderate share</t>
  </si>
  <si>
    <t>1.4–1.6</t>
  </si>
  <si>
    <t>16.0–18.3%</t>
  </si>
  <si>
    <t>~35%</t>
  </si>
  <si>
    <t>Largest share for Bhutan</t>
  </si>
  <si>
    <t>1.6–1.8</t>
  </si>
  <si>
    <t>18.3–20.5%</t>
  </si>
  <si>
    <t>~25%</t>
  </si>
  <si>
    <t>~15%</t>
  </si>
  <si>
    <t>Significant share</t>
  </si>
  <si>
    <t>1.8–1.9</t>
  </si>
  <si>
    <t>20.5–21.7%</t>
  </si>
  <si>
    <t>~10%</t>
  </si>
  <si>
    <t>1.9–2.0</t>
  </si>
  <si>
    <t>21.7–22.8%</t>
  </si>
  <si>
    <t>~5%</t>
  </si>
  <si>
    <t>~8%</t>
  </si>
  <si>
    <t>&gt;2.0</t>
  </si>
  <si>
    <t>&gt;22.8%</t>
  </si>
  <si>
    <t>~7%</t>
  </si>
  <si>
    <t>Bhutan has very little in highest class</t>
  </si>
  <si>
    <t>B. ONSHORE WIND RESOURCE POTENTIAL — distribution across land area (p. 4)</t>
  </si>
  <si>
    <t>IMPORTANT: Bhutan and World land-area shares (%) are VISUAL ESTIMATES read from bar chart — bars have no numeric labels. Use only as qualitative indication of wind resource distribution.</t>
  </si>
  <si>
    <t>Wind Class (W/m² at 100m)</t>
  </si>
  <si>
    <t>Resource Quality</t>
  </si>
  <si>
    <t>&lt;260</t>
  </si>
  <si>
    <t>Poor</t>
  </si>
  <si>
    <t>~80%</t>
  </si>
  <si>
    <t>~60%</t>
  </si>
  <si>
    <t>Majority of Bhutan land in lowest class</t>
  </si>
  <si>
    <t>260–420</t>
  </si>
  <si>
    <t>Marginal</t>
  </si>
  <si>
    <t>420–560</t>
  </si>
  <si>
    <t>Fair</t>
  </si>
  <si>
    <t>Areas in class ≥3 considered viable</t>
  </si>
  <si>
    <t>560–670</t>
  </si>
  <si>
    <t>Good</t>
  </si>
  <si>
    <t>Minimal viable wind resource in Bhutan</t>
  </si>
  <si>
    <t>670–820</t>
  </si>
  <si>
    <t>Very Good</t>
  </si>
  <si>
    <t>~3%</t>
  </si>
  <si>
    <t>820–1060</t>
  </si>
  <si>
    <t>Excellent</t>
  </si>
  <si>
    <t>~1%</t>
  </si>
  <si>
    <t>&gt;1060</t>
  </si>
  <si>
    <t>Exceptional</t>
  </si>
  <si>
    <t>C. BIOMASS POTENTIAL (NPP) — explicitly stated (p. 4)</t>
  </si>
  <si>
    <t>Indicator</t>
  </si>
  <si>
    <t>Value</t>
  </si>
  <si>
    <t>Benchmark</t>
  </si>
  <si>
    <t>Net Primary Production (NPP)</t>
  </si>
  <si>
    <t>tC/ha/yr</t>
  </si>
  <si>
    <t>Global avg: 3–4 tC/ha/yr</t>
  </si>
  <si>
    <t>At global average level; significant forest cover</t>
  </si>
  <si>
    <t>D. IRENA SEASONALITY LIMITATION: IRENA does not publish monthly hydro generation or seasonal shaping factors for Bhutan. For monthly calibration, use BPC PDB 2024 (sheet 4_Seasonality) and PSMP 2040 qualitative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</si>
</sst>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0.000"/>
  </numFmts>
  <fonts count="13" x14ac:knownFonts="1">
    <font>
      <sz val="11"/>
      <color theme="1"/>
      <name val="Calibri"/>
      <family val="2"/>
      <charset val="1"/>
    </font>
    <font>
      <b/>
      <sz val="11"/>
      <color rgb="FFFFFFFF"/>
      <name val="Arial"/>
      <charset val="1"/>
    </font>
    <font>
      <b/>
      <sz val="9"/>
      <color rgb="FFFFFFFF"/>
      <name val="Arial"/>
      <charset val="1"/>
    </font>
    <font>
      <sz val="9"/>
      <name val="Arial"/>
      <charset val="1"/>
    </font>
    <font>
      <i/>
      <sz val="8"/>
      <color rgb="FF595959"/>
      <name val="Arial"/>
      <charset val="1"/>
    </font>
    <font>
      <sz val="9"/>
      <color rgb="FF000000"/>
      <name val="Arial"/>
      <charset val="1"/>
    </font>
    <font>
      <b/>
      <sz val="9"/>
      <name val="Arial"/>
      <charset val="1"/>
    </font>
    <font>
      <b/>
      <sz val="10"/>
      <color rgb="FFFFFFFF"/>
      <name val="Arial"/>
      <charset val="1"/>
    </font>
    <font>
      <i/>
      <sz val="8"/>
      <color rgb="FF7F0000"/>
      <name val="Arial"/>
      <charset val="1"/>
    </font>
    <font>
      <b/>
      <sz val="9"/>
      <color rgb="FF7F0000"/>
      <name val="Arial"/>
      <charset val="1"/>
    </font>
    <font>
      <i/>
      <sz val="8"/>
      <name val="Arial"/>
      <charset val="1"/>
    </font>
    <font>
      <i/>
      <sz val="8"/>
      <color rgb="FF7F6000"/>
      <name val="Arial"/>
      <charset val="1"/>
    </font>
    <font>
      <i/>
      <sz val="8"/>
      <color rgb="FF1A5276"/>
      <name val="Arial"/>
      <charset val="1"/>
    </font>
  </fonts>
  <fills count="13">
    <fill>
      <patternFill patternType="none"/>
    </fill>
    <fill>
      <patternFill patternType="gray125"/>
    </fill>
    <fill>
      <patternFill patternType="solid">
        <fgColor rgb="FF1F4E79"/>
        <bgColor rgb="FF1A5276"/>
      </patternFill>
    </fill>
    <fill>
      <patternFill patternType="solid">
        <fgColor rgb="FF2E75B6"/>
        <bgColor rgb="FF1F618D"/>
      </patternFill>
    </fill>
    <fill>
      <patternFill patternType="solid">
        <fgColor rgb="FFD6E4F0"/>
        <bgColor rgb="FFD9E1F2"/>
      </patternFill>
    </fill>
    <fill>
      <patternFill patternType="solid">
        <fgColor rgb="FFFFF2CC"/>
        <bgColor rgb="FFFEF9E7"/>
      </patternFill>
    </fill>
    <fill>
      <patternFill patternType="solid">
        <fgColor rgb="FFFDEDEC"/>
        <bgColor rgb="FFFEF9E7"/>
      </patternFill>
    </fill>
    <fill>
      <patternFill patternType="solid">
        <fgColor rgb="FFD9E1F2"/>
        <bgColor rgb="FFD6E4F0"/>
      </patternFill>
    </fill>
    <fill>
      <patternFill patternType="solid">
        <fgColor rgb="FFE2EFDA"/>
        <bgColor rgb="FFD6EAF8"/>
      </patternFill>
    </fill>
    <fill>
      <patternFill patternType="solid">
        <fgColor rgb="FF1A5276"/>
        <bgColor rgb="FF1F4E79"/>
      </patternFill>
    </fill>
    <fill>
      <patternFill patternType="solid">
        <fgColor rgb="FFFEF9E7"/>
        <bgColor rgb="FFFFFFFF"/>
      </patternFill>
    </fill>
    <fill>
      <patternFill patternType="solid">
        <fgColor rgb="FF1F618D"/>
        <bgColor rgb="FF1A5276"/>
      </patternFill>
    </fill>
    <fill>
      <patternFill patternType="solid">
        <fgColor rgb="FFD6EAF8"/>
        <bgColor rgb="FFD6E4F0"/>
      </patternFill>
    </fill>
  </fills>
  <borders count="3">
    <border>
      <left/>
      <right/>
      <top/>
      <bottom/>
      <diagonal/>
    </border>
    <border>
      <left style="thin">
        <color rgb="FFAAAAAA"/>
      </left>
      <right/>
      <top style="thin">
        <color rgb="FFAAAAAA"/>
      </top>
      <bottom style="thin">
        <color rgb="FFAAAAAA"/>
      </bottom>
      <diagonal/>
    </border>
    <border>
      <left style="thin">
        <color rgb="FFAAAAAA"/>
      </left>
      <right style="thin">
        <color rgb="FFAAAAAA"/>
      </right>
      <top style="thin">
        <color rgb="FFAAAAAA"/>
      </top>
      <bottom style="thin">
        <color rgb="FFAAAAAA"/>
      </bottom>
      <diagonal/>
    </border>
  </borders>
  <cellStyleXfs count="1">
    <xf numFmtId="0" fontId="0" fillId="0" borderId="0"/>
  </cellStyleXfs>
  <cellXfs count="55">
    <xf numFmtId="0" fontId="0" fillId="0" borderId="0" xfId="0"/>
    <xf numFmtId="0" fontId="8" fillId="6" borderId="1" xfId="0" applyFont="1" applyFill="1" applyBorder="1" applyAlignment="1">
      <alignment horizontal="left" vertical="center" wrapText="1"/>
    </xf>
    <xf numFmtId="0" fontId="12" fillId="10" borderId="1" xfId="0" applyFont="1" applyFill="1" applyBorder="1" applyAlignment="1">
      <alignment horizontal="left" vertical="center" wrapText="1"/>
    </xf>
    <xf numFmtId="0" fontId="2" fillId="11" borderId="1" xfId="0" applyFont="1" applyFill="1" applyBorder="1" applyAlignment="1">
      <alignment horizontal="center" vertical="center" wrapText="1"/>
    </xf>
    <xf numFmtId="0" fontId="11" fillId="10" borderId="1" xfId="0" applyFont="1" applyFill="1" applyBorder="1" applyAlignment="1">
      <alignment horizontal="left" vertical="center" wrapText="1"/>
    </xf>
    <xf numFmtId="0" fontId="1" fillId="9" borderId="1" xfId="0" applyFont="1" applyFill="1" applyBorder="1" applyAlignment="1">
      <alignment horizontal="center" vertical="center" wrapText="1"/>
    </xf>
    <xf numFmtId="0" fontId="10" fillId="0" borderId="0" xfId="0" applyFont="1" applyAlignment="1">
      <alignment horizontal="left"/>
    </xf>
    <xf numFmtId="0" fontId="2" fillId="3" borderId="1" xfId="0" applyFont="1" applyFill="1" applyBorder="1" applyAlignment="1">
      <alignment horizontal="center" vertical="center" wrapText="1"/>
    </xf>
    <xf numFmtId="0" fontId="9" fillId="6" borderId="1" xfId="0" applyFont="1" applyFill="1" applyBorder="1" applyAlignment="1">
      <alignment horizontal="left" vertical="center" wrapText="1"/>
    </xf>
    <xf numFmtId="0" fontId="8" fillId="5" borderId="1" xfId="0" applyFont="1" applyFill="1" applyBorder="1" applyAlignment="1">
      <alignment horizontal="left" vertical="center" wrapText="1"/>
    </xf>
    <xf numFmtId="0" fontId="7" fillId="2" borderId="1"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3" fillId="0" borderId="2" xfId="0" applyFont="1" applyBorder="1" applyAlignment="1">
      <alignment horizontal="left" vertical="center"/>
    </xf>
    <xf numFmtId="4" fontId="3" fillId="0" borderId="2" xfId="0" applyNumberFormat="1" applyFont="1" applyBorder="1" applyAlignment="1">
      <alignment horizontal="center" vertical="center" wrapText="1"/>
    </xf>
    <xf numFmtId="164" fontId="3" fillId="0" borderId="2" xfId="0" applyNumberFormat="1" applyFont="1" applyBorder="1" applyAlignment="1">
      <alignment horizontal="center" vertical="center" wrapText="1"/>
    </xf>
    <xf numFmtId="0" fontId="3" fillId="0" borderId="2" xfId="0" applyFont="1" applyBorder="1" applyAlignment="1">
      <alignment horizontal="left" vertical="center" wrapText="1"/>
    </xf>
    <xf numFmtId="0" fontId="4" fillId="0" borderId="2" xfId="0" applyFont="1" applyBorder="1" applyAlignment="1">
      <alignment horizontal="left" vertical="center" wrapText="1"/>
    </xf>
    <xf numFmtId="4" fontId="5" fillId="0" borderId="2" xfId="0" applyNumberFormat="1" applyFont="1" applyBorder="1" applyAlignment="1">
      <alignment horizontal="center" vertical="center" wrapText="1"/>
    </xf>
    <xf numFmtId="0" fontId="0" fillId="0" borderId="2" xfId="0" applyBorder="1"/>
    <xf numFmtId="0" fontId="6" fillId="4" borderId="2" xfId="0" applyFont="1" applyFill="1" applyBorder="1" applyAlignment="1">
      <alignment horizontal="left" vertical="center"/>
    </xf>
    <xf numFmtId="4" fontId="6" fillId="4" borderId="2" xfId="0" applyNumberFormat="1" applyFont="1" applyFill="1" applyBorder="1" applyAlignment="1">
      <alignment horizontal="center" vertical="center" wrapText="1"/>
    </xf>
    <xf numFmtId="0" fontId="3" fillId="4" borderId="2" xfId="0" applyFont="1" applyFill="1" applyBorder="1" applyAlignment="1">
      <alignment horizontal="left" vertical="center" wrapText="1"/>
    </xf>
    <xf numFmtId="0" fontId="4" fillId="4" borderId="2" xfId="0" applyFont="1" applyFill="1" applyBorder="1" applyAlignment="1">
      <alignment horizontal="left" vertical="center" wrapText="1"/>
    </xf>
    <xf numFmtId="164" fontId="3" fillId="0" borderId="2" xfId="0" applyNumberFormat="1" applyFont="1" applyBorder="1" applyAlignment="1">
      <alignment horizontal="center" vertical="center"/>
    </xf>
    <xf numFmtId="3" fontId="3" fillId="0" borderId="2" xfId="0" applyNumberFormat="1" applyFont="1" applyBorder="1" applyAlignment="1">
      <alignment horizontal="center" vertical="center" wrapText="1"/>
    </xf>
    <xf numFmtId="164" fontId="6" fillId="0" borderId="2" xfId="0" applyNumberFormat="1" applyFont="1" applyBorder="1" applyAlignment="1">
      <alignment horizontal="center" vertical="center" wrapText="1"/>
    </xf>
    <xf numFmtId="164" fontId="5" fillId="0" borderId="2" xfId="0" applyNumberFormat="1" applyFont="1" applyBorder="1" applyAlignment="1">
      <alignment horizontal="center" vertical="center" wrapText="1"/>
    </xf>
    <xf numFmtId="0" fontId="3" fillId="0" borderId="2" xfId="0" applyFont="1" applyBorder="1" applyAlignment="1">
      <alignment horizontal="center" vertical="center" wrapText="1"/>
    </xf>
    <xf numFmtId="0" fontId="6" fillId="4" borderId="2" xfId="0" applyFont="1" applyFill="1" applyBorder="1" applyAlignment="1">
      <alignment horizontal="left" vertical="center" wrapText="1"/>
    </xf>
    <xf numFmtId="3" fontId="6" fillId="4" borderId="2" xfId="0" applyNumberFormat="1" applyFont="1" applyFill="1" applyBorder="1" applyAlignment="1">
      <alignment horizontal="center" vertical="center" wrapText="1"/>
    </xf>
    <xf numFmtId="164" fontId="6" fillId="4" borderId="2" xfId="0" applyNumberFormat="1" applyFont="1" applyFill="1" applyBorder="1" applyAlignment="1">
      <alignment horizontal="center" vertical="center" wrapText="1"/>
    </xf>
    <xf numFmtId="2" fontId="3" fillId="0" borderId="2" xfId="0" applyNumberFormat="1" applyFont="1" applyBorder="1" applyAlignment="1">
      <alignment horizontal="center" vertical="center" wrapText="1"/>
    </xf>
    <xf numFmtId="0" fontId="3" fillId="7" borderId="2" xfId="0" applyFont="1" applyFill="1" applyBorder="1" applyAlignment="1">
      <alignment horizontal="center" vertical="center" wrapText="1"/>
    </xf>
    <xf numFmtId="0" fontId="3" fillId="7" borderId="2" xfId="0" applyFont="1" applyFill="1" applyBorder="1" applyAlignment="1">
      <alignment horizontal="left" vertical="center" wrapText="1"/>
    </xf>
    <xf numFmtId="0" fontId="3" fillId="8" borderId="2" xfId="0" applyFont="1" applyFill="1" applyBorder="1" applyAlignment="1">
      <alignment horizontal="center" vertical="center" wrapText="1"/>
    </xf>
    <xf numFmtId="0" fontId="3" fillId="8" borderId="2" xfId="0" applyFont="1" applyFill="1" applyBorder="1" applyAlignment="1">
      <alignment horizontal="left" vertical="center" wrapText="1"/>
    </xf>
    <xf numFmtId="0" fontId="4" fillId="8" borderId="2" xfId="0" applyFont="1" applyFill="1" applyBorder="1" applyAlignment="1">
      <alignment horizontal="left" vertical="center" wrapText="1"/>
    </xf>
    <xf numFmtId="10" fontId="3" fillId="0" borderId="2" xfId="0" applyNumberFormat="1" applyFont="1" applyBorder="1" applyAlignment="1">
      <alignment horizontal="center" vertical="center" wrapText="1"/>
    </xf>
    <xf numFmtId="0" fontId="2" fillId="11" borderId="2" xfId="0" applyFont="1" applyFill="1" applyBorder="1" applyAlignment="1">
      <alignment horizontal="center" vertical="center" wrapText="1"/>
    </xf>
    <xf numFmtId="9" fontId="6" fillId="12" borderId="2" xfId="0" applyNumberFormat="1" applyFont="1" applyFill="1" applyBorder="1" applyAlignment="1">
      <alignment horizontal="center" vertical="center" wrapText="1"/>
    </xf>
    <xf numFmtId="9" fontId="6" fillId="0" borderId="2" xfId="0" applyNumberFormat="1" applyFont="1" applyBorder="1" applyAlignment="1">
      <alignment horizontal="center" vertical="center" wrapText="1"/>
    </xf>
    <xf numFmtId="165" fontId="6" fillId="0" borderId="2" xfId="0" applyNumberFormat="1" applyFont="1" applyBorder="1" applyAlignment="1">
      <alignment horizontal="center" vertical="center" wrapText="1"/>
    </xf>
    <xf numFmtId="9" fontId="3" fillId="0" borderId="2" xfId="0" applyNumberFormat="1" applyFont="1" applyBorder="1" applyAlignment="1">
      <alignment horizontal="center" vertical="center" wrapText="1"/>
    </xf>
    <xf numFmtId="3" fontId="6" fillId="12" borderId="2" xfId="0" applyNumberFormat="1" applyFont="1" applyFill="1" applyBorder="1" applyAlignment="1">
      <alignment horizontal="center" vertical="center" wrapText="1"/>
    </xf>
    <xf numFmtId="3" fontId="6" fillId="0" borderId="2" xfId="0" applyNumberFormat="1" applyFont="1" applyBorder="1" applyAlignment="1">
      <alignment horizontal="center" vertical="center" wrapText="1"/>
    </xf>
    <xf numFmtId="165" fontId="3" fillId="0" borderId="2" xfId="0" applyNumberFormat="1" applyFont="1" applyBorder="1" applyAlignment="1">
      <alignment horizontal="center" vertical="center" wrapText="1"/>
    </xf>
    <xf numFmtId="166" fontId="3" fillId="0" borderId="2" xfId="0" applyNumberFormat="1" applyFont="1" applyBorder="1" applyAlignment="1">
      <alignment horizontal="center" vertical="center" wrapText="1"/>
    </xf>
    <xf numFmtId="0" fontId="3" fillId="12" borderId="2" xfId="0" applyFont="1" applyFill="1" applyBorder="1" applyAlignment="1">
      <alignment horizontal="center" vertical="center" wrapText="1"/>
    </xf>
    <xf numFmtId="165" fontId="6" fillId="12" borderId="2" xfId="0" applyNumberFormat="1" applyFont="1" applyFill="1" applyBorder="1" applyAlignment="1">
      <alignment horizontal="center" vertical="center" wrapText="1"/>
    </xf>
    <xf numFmtId="166" fontId="3" fillId="12" borderId="2" xfId="0" applyNumberFormat="1" applyFont="1" applyFill="1" applyBorder="1" applyAlignment="1">
      <alignment horizontal="center" vertical="center" wrapText="1"/>
    </xf>
    <xf numFmtId="9" fontId="3" fillId="12" borderId="2" xfId="0" applyNumberFormat="1" applyFont="1" applyFill="1" applyBorder="1" applyAlignment="1">
      <alignment horizontal="center" vertical="center" wrapText="1"/>
    </xf>
    <xf numFmtId="0" fontId="3" fillId="12" borderId="2" xfId="0" applyFont="1" applyFill="1" applyBorder="1" applyAlignment="1">
      <alignment horizontal="left" vertical="center" wrapText="1"/>
    </xf>
    <xf numFmtId="0" fontId="6" fillId="12" borderId="2" xfId="0" applyFont="1" applyFill="1" applyBorder="1" applyAlignment="1">
      <alignment horizontal="left" vertical="center" wrapText="1"/>
    </xf>
    <xf numFmtId="3" fontId="3" fillId="12" borderId="2" xfId="0" applyNumberFormat="1"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7F0000"/>
      <rgbColor rgb="FF008000"/>
      <rgbColor rgb="FF000080"/>
      <rgbColor rgb="FF7F6000"/>
      <rgbColor rgb="FF800080"/>
      <rgbColor rgb="FF008080"/>
      <rgbColor rgb="FFC0C0C0"/>
      <rgbColor rgb="FF808080"/>
      <rgbColor rgb="FF9999FF"/>
      <rgbColor rgb="FF993366"/>
      <rgbColor rgb="FFFFF2CC"/>
      <rgbColor rgb="FFD6EAF8"/>
      <rgbColor rgb="FF660066"/>
      <rgbColor rgb="FFFF8080"/>
      <rgbColor rgb="FF1F618D"/>
      <rgbColor rgb="FFD9E1F2"/>
      <rgbColor rgb="FF000080"/>
      <rgbColor rgb="FFFF00FF"/>
      <rgbColor rgb="FFFFFF00"/>
      <rgbColor rgb="FF00FFFF"/>
      <rgbColor rgb="FF800080"/>
      <rgbColor rgb="FF800000"/>
      <rgbColor rgb="FF008080"/>
      <rgbColor rgb="FF0000FF"/>
      <rgbColor rgb="FF00CCFF"/>
      <rgbColor rgb="FFD6E4F0"/>
      <rgbColor rgb="FFE2EFDA"/>
      <rgbColor rgb="FFFEF9E7"/>
      <rgbColor rgb="FF99CCFF"/>
      <rgbColor rgb="FFFF99CC"/>
      <rgbColor rgb="FFCC99FF"/>
      <rgbColor rgb="FFFDEDEC"/>
      <rgbColor rgb="FF2E75B6"/>
      <rgbColor rgb="FF33CCCC"/>
      <rgbColor rgb="FF99CC00"/>
      <rgbColor rgb="FFFFCC00"/>
      <rgbColor rgb="FFFF9900"/>
      <rgbColor rgb="FFFF6600"/>
      <rgbColor rgb="FF595959"/>
      <rgbColor rgb="FFAAAAAA"/>
      <rgbColor rgb="FF1A5276"/>
      <rgbColor rgb="FF339966"/>
      <rgbColor rgb="FF003300"/>
      <rgbColor rgb="FF333300"/>
      <rgbColor rgb="FF993300"/>
      <rgbColor rgb="FF993366"/>
      <rgbColor rgb="FF1F4E7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2"/>
  <sheetViews>
    <sheetView zoomScaleNormal="100" workbookViewId="0">
      <pane xSplit="1" ySplit="2" topLeftCell="B3" activePane="bottomRight" state="frozen"/>
      <selection pane="topRight" activeCell="B1" sqref="B1"/>
      <selection pane="bottomLeft" activeCell="A3" sqref="A3"/>
      <selection pane="bottomRight" sqref="A1:J1"/>
    </sheetView>
  </sheetViews>
  <sheetFormatPr baseColWidth="10" defaultColWidth="8.6640625" defaultRowHeight="14.4" x14ac:dyDescent="0.3"/>
  <cols>
    <col min="1" max="1" width="18" customWidth="1"/>
    <col min="2" max="2" width="14" customWidth="1"/>
    <col min="3" max="8" width="10" customWidth="1"/>
    <col min="9" max="9" width="40" customWidth="1"/>
    <col min="10" max="10" width="42" customWidth="1"/>
  </cols>
  <sheetData>
    <row r="1" spans="1:10" ht="19.5" customHeight="1" x14ac:dyDescent="0.3">
      <c r="A1" s="11" t="s">
        <v>0</v>
      </c>
      <c r="B1" s="11"/>
      <c r="C1" s="11"/>
      <c r="D1" s="11"/>
      <c r="E1" s="11"/>
      <c r="F1" s="11"/>
      <c r="G1" s="11"/>
      <c r="H1" s="11"/>
      <c r="I1" s="11"/>
      <c r="J1" s="11"/>
    </row>
    <row r="2" spans="1:10" ht="30" customHeight="1" x14ac:dyDescent="0.3">
      <c r="A2" s="12" t="s">
        <v>1</v>
      </c>
      <c r="B2" s="12" t="s">
        <v>2</v>
      </c>
      <c r="C2" s="12" t="s">
        <v>3</v>
      </c>
      <c r="D2" s="12" t="s">
        <v>4</v>
      </c>
      <c r="E2" s="12" t="s">
        <v>5</v>
      </c>
      <c r="F2" s="12" t="s">
        <v>6</v>
      </c>
      <c r="G2" s="12" t="s">
        <v>7</v>
      </c>
      <c r="H2" s="12" t="s">
        <v>8</v>
      </c>
      <c r="I2" s="12" t="s">
        <v>9</v>
      </c>
      <c r="J2" s="12" t="s">
        <v>10</v>
      </c>
    </row>
    <row r="3" spans="1:10" ht="15" customHeight="1" x14ac:dyDescent="0.3">
      <c r="A3" s="13" t="s">
        <v>11</v>
      </c>
      <c r="B3" s="14">
        <v>336</v>
      </c>
      <c r="C3" s="14">
        <v>1858.07</v>
      </c>
      <c r="D3" s="14">
        <v>1966.31</v>
      </c>
      <c r="E3" s="14">
        <v>1915.92</v>
      </c>
      <c r="F3" s="14">
        <v>1775.37</v>
      </c>
      <c r="G3" s="14">
        <v>1770.94</v>
      </c>
      <c r="H3" s="15">
        <f t="shared" ref="H3:H8" si="0">(G3/C3)^(1/4)-1</f>
        <v>-1.1935162991261072E-2</v>
      </c>
      <c r="I3" s="16" t="s">
        <v>12</v>
      </c>
      <c r="J3" s="17" t="s">
        <v>13</v>
      </c>
    </row>
    <row r="4" spans="1:10" ht="15" customHeight="1" x14ac:dyDescent="0.3">
      <c r="A4" s="13" t="s">
        <v>14</v>
      </c>
      <c r="B4" s="14">
        <v>1020</v>
      </c>
      <c r="C4" s="14">
        <v>5031.82</v>
      </c>
      <c r="D4" s="14">
        <v>4619.7700000000004</v>
      </c>
      <c r="E4" s="14">
        <v>4539.01</v>
      </c>
      <c r="F4" s="14">
        <v>4454.24</v>
      </c>
      <c r="G4" s="14">
        <v>4642.17</v>
      </c>
      <c r="H4" s="15">
        <f t="shared" si="0"/>
        <v>-1.9948300964845789E-2</v>
      </c>
      <c r="I4" s="16" t="s">
        <v>15</v>
      </c>
      <c r="J4" s="17" t="s">
        <v>13</v>
      </c>
    </row>
    <row r="5" spans="1:10" ht="15" customHeight="1" x14ac:dyDescent="0.3">
      <c r="A5" s="13" t="s">
        <v>16</v>
      </c>
      <c r="B5" s="14">
        <v>60</v>
      </c>
      <c r="C5" s="14">
        <v>391.59</v>
      </c>
      <c r="D5" s="14">
        <v>386.29</v>
      </c>
      <c r="E5" s="14">
        <v>407.92</v>
      </c>
      <c r="F5" s="14">
        <v>385.84</v>
      </c>
      <c r="G5" s="14">
        <v>393.33</v>
      </c>
      <c r="H5" s="15">
        <f t="shared" si="0"/>
        <v>1.1090095244357112E-3</v>
      </c>
      <c r="I5" s="16" t="s">
        <v>17</v>
      </c>
      <c r="J5" s="17" t="s">
        <v>13</v>
      </c>
    </row>
    <row r="6" spans="1:10" ht="21.75" customHeight="1" x14ac:dyDescent="0.3">
      <c r="A6" s="13" t="s">
        <v>18</v>
      </c>
      <c r="B6" s="14">
        <v>64</v>
      </c>
      <c r="C6" s="14">
        <v>348.56</v>
      </c>
      <c r="D6" s="14">
        <v>339.17</v>
      </c>
      <c r="E6" s="18">
        <v>354.59</v>
      </c>
      <c r="F6" s="14">
        <v>311.38</v>
      </c>
      <c r="G6" s="14">
        <v>303.10000000000002</v>
      </c>
      <c r="H6" s="15">
        <f t="shared" si="0"/>
        <v>-3.4333651574004365E-2</v>
      </c>
      <c r="I6" s="16" t="s">
        <v>19</v>
      </c>
      <c r="J6" s="17" t="s">
        <v>13</v>
      </c>
    </row>
    <row r="7" spans="1:10" ht="15" customHeight="1" x14ac:dyDescent="0.3">
      <c r="A7" s="13" t="s">
        <v>20</v>
      </c>
      <c r="B7" s="14">
        <v>720</v>
      </c>
      <c r="C7" s="14">
        <v>3218.39</v>
      </c>
      <c r="D7" s="14">
        <v>2988.89</v>
      </c>
      <c r="E7" s="14">
        <v>3084.96</v>
      </c>
      <c r="F7" s="14">
        <v>3145.05</v>
      </c>
      <c r="G7" s="14">
        <v>3564.59</v>
      </c>
      <c r="H7" s="15">
        <f t="shared" si="0"/>
        <v>2.5870942122078633E-2</v>
      </c>
      <c r="I7" s="16" t="s">
        <v>21</v>
      </c>
      <c r="J7" s="17" t="s">
        <v>13</v>
      </c>
    </row>
    <row r="8" spans="1:10" ht="15" customHeight="1" x14ac:dyDescent="0.3">
      <c r="A8" s="13" t="s">
        <v>22</v>
      </c>
      <c r="B8" s="14">
        <v>252</v>
      </c>
      <c r="C8" s="14">
        <v>518.27</v>
      </c>
      <c r="D8" s="14">
        <v>499.87</v>
      </c>
      <c r="E8" s="14">
        <v>451.65</v>
      </c>
      <c r="F8" s="14">
        <v>444.14</v>
      </c>
      <c r="G8" s="14">
        <v>449.18</v>
      </c>
      <c r="H8" s="15">
        <f t="shared" si="0"/>
        <v>-3.5136039279320408E-2</v>
      </c>
      <c r="I8" s="16" t="s">
        <v>23</v>
      </c>
      <c r="J8" s="17" t="s">
        <v>13</v>
      </c>
    </row>
    <row r="9" spans="1:10" ht="15" customHeight="1" x14ac:dyDescent="0.3">
      <c r="A9" s="13" t="s">
        <v>24</v>
      </c>
      <c r="B9" s="14">
        <v>118</v>
      </c>
      <c r="C9" s="14"/>
      <c r="D9" s="14"/>
      <c r="E9" s="14"/>
      <c r="F9" s="14"/>
      <c r="G9" s="14">
        <v>513.15</v>
      </c>
      <c r="H9" s="19"/>
      <c r="I9" s="16" t="s">
        <v>25</v>
      </c>
      <c r="J9" s="17" t="s">
        <v>13</v>
      </c>
    </row>
    <row r="10" spans="1:10" ht="21.75" customHeight="1" x14ac:dyDescent="0.3">
      <c r="A10" s="13" t="s">
        <v>26</v>
      </c>
      <c r="B10" s="14">
        <v>1020</v>
      </c>
      <c r="C10" s="14"/>
      <c r="D10" s="14"/>
      <c r="E10" s="14"/>
      <c r="F10" s="14"/>
      <c r="G10" s="14">
        <v>12.23</v>
      </c>
      <c r="H10" s="19"/>
      <c r="I10" s="16" t="s">
        <v>27</v>
      </c>
      <c r="J10" s="17" t="s">
        <v>13</v>
      </c>
    </row>
    <row r="11" spans="1:10" ht="15" customHeight="1" x14ac:dyDescent="0.3">
      <c r="A11" s="20" t="s">
        <v>28</v>
      </c>
      <c r="B11" s="21"/>
      <c r="C11" s="21">
        <v>11366.71</v>
      </c>
      <c r="D11" s="21">
        <v>10800.3</v>
      </c>
      <c r="E11" s="21">
        <v>10754.05</v>
      </c>
      <c r="F11" s="21">
        <v>10516.02</v>
      </c>
      <c r="G11" s="21">
        <v>11648.68</v>
      </c>
      <c r="H11" s="19"/>
      <c r="I11" s="22" t="s">
        <v>29</v>
      </c>
      <c r="J11" s="23" t="s">
        <v>13</v>
      </c>
    </row>
    <row r="13" spans="1:10" ht="15" customHeight="1" x14ac:dyDescent="0.3">
      <c r="A13" s="10" t="s">
        <v>30</v>
      </c>
      <c r="B13" s="10"/>
      <c r="C13" s="10"/>
      <c r="D13" s="10"/>
      <c r="E13" s="10"/>
      <c r="F13" s="10"/>
      <c r="G13" s="10"/>
      <c r="H13" s="10"/>
      <c r="I13" s="10"/>
      <c r="J13" s="10"/>
    </row>
    <row r="14" spans="1:10" ht="21.75" customHeight="1" x14ac:dyDescent="0.3">
      <c r="A14" s="12" t="s">
        <v>1</v>
      </c>
      <c r="B14" s="12" t="s">
        <v>2</v>
      </c>
      <c r="C14" s="12" t="s">
        <v>3</v>
      </c>
      <c r="D14" s="12" t="s">
        <v>4</v>
      </c>
      <c r="E14" s="12" t="s">
        <v>5</v>
      </c>
      <c r="F14" s="12" t="s">
        <v>6</v>
      </c>
      <c r="G14" s="12" t="s">
        <v>7</v>
      </c>
      <c r="H14" s="12"/>
      <c r="I14" s="12" t="s">
        <v>9</v>
      </c>
      <c r="J14" s="12" t="s">
        <v>10</v>
      </c>
    </row>
    <row r="15" spans="1:10" ht="15" customHeight="1" x14ac:dyDescent="0.3">
      <c r="A15" s="13" t="s">
        <v>11</v>
      </c>
      <c r="B15" s="14">
        <v>336</v>
      </c>
      <c r="C15" s="14">
        <v>2030.55</v>
      </c>
      <c r="D15" s="14">
        <v>1835.82</v>
      </c>
      <c r="E15" s="14">
        <v>1624.87</v>
      </c>
      <c r="F15" s="14">
        <v>967.13</v>
      </c>
      <c r="G15" s="14">
        <v>1035.8900000000001</v>
      </c>
      <c r="H15" s="19"/>
      <c r="I15" s="16"/>
      <c r="J15" s="17" t="s">
        <v>31</v>
      </c>
    </row>
    <row r="16" spans="1:10" ht="15" customHeight="1" x14ac:dyDescent="0.3">
      <c r="A16" s="13" t="s">
        <v>14</v>
      </c>
      <c r="B16" s="14">
        <v>1020</v>
      </c>
      <c r="C16" s="14">
        <v>3387.53</v>
      </c>
      <c r="D16" s="14">
        <v>2761.82</v>
      </c>
      <c r="E16" s="14">
        <v>2384.83</v>
      </c>
      <c r="F16" s="14">
        <v>1235.42</v>
      </c>
      <c r="G16" s="14">
        <v>809.04</v>
      </c>
      <c r="H16" s="19"/>
      <c r="I16" s="16"/>
      <c r="J16" s="17" t="s">
        <v>31</v>
      </c>
    </row>
    <row r="17" spans="1:10" ht="15" customHeight="1" x14ac:dyDescent="0.3">
      <c r="A17" s="13" t="s">
        <v>16</v>
      </c>
      <c r="B17" s="14">
        <v>60</v>
      </c>
      <c r="C17" s="14">
        <v>93.39</v>
      </c>
      <c r="D17" s="14">
        <v>46.93</v>
      </c>
      <c r="E17" s="14">
        <v>19.7</v>
      </c>
      <c r="F17" s="14">
        <v>26.1</v>
      </c>
      <c r="G17" s="14">
        <v>0</v>
      </c>
      <c r="H17" s="19"/>
      <c r="I17" s="16" t="s">
        <v>32</v>
      </c>
      <c r="J17" s="17" t="s">
        <v>31</v>
      </c>
    </row>
    <row r="18" spans="1:10" ht="15" customHeight="1" x14ac:dyDescent="0.3">
      <c r="A18" s="13" t="s">
        <v>18</v>
      </c>
      <c r="B18" s="14">
        <v>64</v>
      </c>
      <c r="C18" s="18"/>
      <c r="D18" s="18"/>
      <c r="E18" s="14"/>
      <c r="F18" s="14">
        <v>40.92</v>
      </c>
      <c r="G18" s="14">
        <v>159.34</v>
      </c>
      <c r="H18" s="24"/>
      <c r="I18" s="17" t="s">
        <v>33</v>
      </c>
      <c r="J18" s="17" t="s">
        <v>31</v>
      </c>
    </row>
    <row r="19" spans="1:10" ht="15" customHeight="1" x14ac:dyDescent="0.3">
      <c r="A19" s="13" t="s">
        <v>22</v>
      </c>
      <c r="B19" s="14">
        <v>252</v>
      </c>
      <c r="C19" s="14">
        <v>502.34</v>
      </c>
      <c r="D19" s="14">
        <v>485.41</v>
      </c>
      <c r="E19" s="14">
        <v>437.91</v>
      </c>
      <c r="F19" s="14">
        <v>429.95</v>
      </c>
      <c r="G19" s="14">
        <v>430.13</v>
      </c>
      <c r="H19" s="19"/>
      <c r="I19" s="16"/>
      <c r="J19" s="17" t="s">
        <v>31</v>
      </c>
    </row>
    <row r="20" spans="1:10" ht="15" customHeight="1" x14ac:dyDescent="0.3">
      <c r="A20" s="13" t="s">
        <v>20</v>
      </c>
      <c r="B20" s="14">
        <v>720</v>
      </c>
      <c r="C20" s="18">
        <v>3142.9</v>
      </c>
      <c r="D20" s="14">
        <v>2944.29</v>
      </c>
      <c r="E20" s="14">
        <v>2772.89</v>
      </c>
      <c r="F20" s="14">
        <v>2435.5300000000002</v>
      </c>
      <c r="G20" s="14">
        <v>2590.21</v>
      </c>
      <c r="H20" s="19"/>
      <c r="I20" s="17" t="s">
        <v>34</v>
      </c>
      <c r="J20" s="17" t="s">
        <v>31</v>
      </c>
    </row>
    <row r="21" spans="1:10" ht="15" customHeight="1" x14ac:dyDescent="0.3">
      <c r="A21" s="13" t="s">
        <v>24</v>
      </c>
      <c r="B21" s="14">
        <v>118</v>
      </c>
      <c r="C21" s="14"/>
      <c r="D21" s="14"/>
      <c r="E21" s="14"/>
      <c r="F21" s="14"/>
      <c r="G21" s="14">
        <v>431.83</v>
      </c>
      <c r="H21" s="19"/>
      <c r="I21" s="16" t="s">
        <v>35</v>
      </c>
      <c r="J21" s="17" t="s">
        <v>31</v>
      </c>
    </row>
    <row r="22" spans="1:10" ht="15" customHeight="1" x14ac:dyDescent="0.3">
      <c r="A22" s="20" t="s">
        <v>36</v>
      </c>
      <c r="B22" s="21"/>
      <c r="C22" s="21">
        <v>9156.7099999999991</v>
      </c>
      <c r="D22" s="21">
        <v>8074.27</v>
      </c>
      <c r="E22" s="21">
        <v>7240.21</v>
      </c>
      <c r="F22" s="21">
        <v>5135.0600000000004</v>
      </c>
      <c r="G22" s="21">
        <v>5456.44</v>
      </c>
      <c r="H22" s="19"/>
      <c r="I22" s="22" t="s">
        <v>37</v>
      </c>
      <c r="J22" s="23" t="s">
        <v>31</v>
      </c>
    </row>
  </sheetData>
  <mergeCells count="2">
    <mergeCell ref="A1:J1"/>
    <mergeCell ref="A13:J13"/>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2"/>
  <sheetViews>
    <sheetView tabSelected="1" zoomScaleNormal="100" workbookViewId="0">
      <pane xSplit="1" ySplit="2" topLeftCell="B3" activePane="bottomRight" state="frozen"/>
      <selection pane="topRight" activeCell="B1" sqref="B1"/>
      <selection pane="bottomLeft" activeCell="A3" sqref="A3"/>
      <selection pane="bottomRight" activeCell="A12" sqref="A12:I12"/>
    </sheetView>
  </sheetViews>
  <sheetFormatPr baseColWidth="10" defaultColWidth="8.6640625" defaultRowHeight="14.4" x14ac:dyDescent="0.3"/>
  <cols>
    <col min="1" max="1" width="18" customWidth="1"/>
    <col min="2" max="2" width="14" customWidth="1"/>
    <col min="3" max="7" width="10" customWidth="1"/>
    <col min="8" max="8" width="12" customWidth="1"/>
    <col min="9" max="9" width="49" bestFit="1" customWidth="1"/>
  </cols>
  <sheetData>
    <row r="1" spans="1:9" ht="15" customHeight="1" x14ac:dyDescent="0.3">
      <c r="A1" s="11" t="s">
        <v>38</v>
      </c>
      <c r="B1" s="11"/>
      <c r="C1" s="11"/>
      <c r="D1" s="11"/>
      <c r="E1" s="11"/>
      <c r="F1" s="11"/>
      <c r="G1" s="11"/>
      <c r="H1" s="11"/>
      <c r="I1" s="11"/>
    </row>
    <row r="2" spans="1:9" ht="30" customHeight="1" x14ac:dyDescent="0.3">
      <c r="A2" s="9" t="s">
        <v>39</v>
      </c>
      <c r="B2" s="9"/>
      <c r="C2" s="9"/>
      <c r="D2" s="9"/>
      <c r="E2" s="9"/>
      <c r="F2" s="9"/>
      <c r="G2" s="9"/>
      <c r="H2" s="9"/>
      <c r="I2" s="9"/>
    </row>
    <row r="3" spans="1:9" ht="30" customHeight="1" x14ac:dyDescent="0.3">
      <c r="A3" s="12" t="s">
        <v>1</v>
      </c>
      <c r="B3" s="12" t="s">
        <v>2</v>
      </c>
      <c r="C3" s="12" t="s">
        <v>40</v>
      </c>
      <c r="D3" s="12" t="s">
        <v>41</v>
      </c>
      <c r="E3" s="12" t="s">
        <v>42</v>
      </c>
      <c r="F3" s="12" t="s">
        <v>43</v>
      </c>
      <c r="G3" s="12" t="s">
        <v>44</v>
      </c>
      <c r="H3" s="12" t="s">
        <v>45</v>
      </c>
      <c r="I3" s="12" t="s">
        <v>46</v>
      </c>
    </row>
    <row r="4" spans="1:9" ht="15" customHeight="1" x14ac:dyDescent="0.3">
      <c r="A4" s="16" t="s">
        <v>11</v>
      </c>
      <c r="B4" s="25">
        <v>336</v>
      </c>
      <c r="C4" s="15">
        <v>0.63127514133507301</v>
      </c>
      <c r="D4" s="15">
        <v>0.66804944009567302</v>
      </c>
      <c r="E4" s="15">
        <v>0.65092954990215302</v>
      </c>
      <c r="F4" s="15">
        <v>0.60317800065231597</v>
      </c>
      <c r="G4" s="15">
        <v>0.60167291802565803</v>
      </c>
      <c r="H4" s="26">
        <f t="shared" ref="H4:H9" si="0">AVERAGE(C4,D4,E4,F4,G4)</f>
        <v>0.63102101000217459</v>
      </c>
      <c r="I4" s="17" t="s">
        <v>47</v>
      </c>
    </row>
    <row r="5" spans="1:9" ht="15" customHeight="1" x14ac:dyDescent="0.3">
      <c r="A5" s="16" t="s">
        <v>14</v>
      </c>
      <c r="B5" s="25">
        <v>1020</v>
      </c>
      <c r="C5" s="15">
        <v>0.56314576058734001</v>
      </c>
      <c r="D5" s="15">
        <v>0.517030396633539</v>
      </c>
      <c r="E5" s="15">
        <v>0.507991986749038</v>
      </c>
      <c r="F5" s="15">
        <v>0.49850479004387199</v>
      </c>
      <c r="G5" s="15">
        <v>0.51953733548213799</v>
      </c>
      <c r="H5" s="26">
        <f t="shared" si="0"/>
        <v>0.52124205389918532</v>
      </c>
      <c r="I5" s="17" t="s">
        <v>47</v>
      </c>
    </row>
    <row r="6" spans="1:9" ht="15" customHeight="1" x14ac:dyDescent="0.3">
      <c r="A6" s="16" t="s">
        <v>16</v>
      </c>
      <c r="B6" s="25">
        <v>60</v>
      </c>
      <c r="C6" s="15">
        <v>0.74503424657534201</v>
      </c>
      <c r="D6" s="15">
        <v>0.73495053272450495</v>
      </c>
      <c r="E6" s="15">
        <v>0.77610350076103496</v>
      </c>
      <c r="F6" s="15">
        <v>0.73409436834094399</v>
      </c>
      <c r="G6" s="15">
        <v>0.74834474885844704</v>
      </c>
      <c r="H6" s="26">
        <f t="shared" si="0"/>
        <v>0.74770547945205457</v>
      </c>
      <c r="I6" s="17" t="s">
        <v>47</v>
      </c>
    </row>
    <row r="7" spans="1:9" ht="15" customHeight="1" x14ac:dyDescent="0.3">
      <c r="A7" s="16" t="s">
        <v>20</v>
      </c>
      <c r="B7" s="25">
        <v>720</v>
      </c>
      <c r="C7" s="15">
        <v>0.51027238711314105</v>
      </c>
      <c r="D7" s="15">
        <v>0.473885400811771</v>
      </c>
      <c r="E7" s="15">
        <v>0.48911719939117199</v>
      </c>
      <c r="F7" s="15">
        <v>0.49864440639269397</v>
      </c>
      <c r="G7" s="15">
        <v>0.56516203703703705</v>
      </c>
      <c r="H7" s="26">
        <f t="shared" si="0"/>
        <v>0.50741628614916301</v>
      </c>
      <c r="I7" s="17" t="s">
        <v>47</v>
      </c>
    </row>
    <row r="8" spans="1:9" ht="15" customHeight="1" x14ac:dyDescent="0.3">
      <c r="A8" s="16" t="s">
        <v>22</v>
      </c>
      <c r="B8" s="25">
        <v>252</v>
      </c>
      <c r="C8" s="15">
        <v>0.23477476987751</v>
      </c>
      <c r="D8" s="15">
        <v>0.22643962455606301</v>
      </c>
      <c r="E8" s="15">
        <v>0.204596107849533</v>
      </c>
      <c r="F8" s="15">
        <v>0.201194100166703</v>
      </c>
      <c r="G8" s="15">
        <v>0.20347720518953399</v>
      </c>
      <c r="H8" s="26">
        <f t="shared" si="0"/>
        <v>0.21409636152786859</v>
      </c>
      <c r="I8" s="17" t="s">
        <v>47</v>
      </c>
    </row>
    <row r="9" spans="1:9" ht="15" customHeight="1" x14ac:dyDescent="0.3">
      <c r="A9" s="16" t="s">
        <v>18</v>
      </c>
      <c r="B9" s="25">
        <v>64</v>
      </c>
      <c r="C9" s="15">
        <v>0.62171803652968005</v>
      </c>
      <c r="D9" s="15">
        <v>0.60496932077625598</v>
      </c>
      <c r="E9" s="27">
        <v>0.63247360159817401</v>
      </c>
      <c r="F9" s="15">
        <v>0.55540097031963498</v>
      </c>
      <c r="G9" s="15">
        <v>0.54063213470319604</v>
      </c>
      <c r="H9" s="26">
        <f t="shared" si="0"/>
        <v>0.59103881278538828</v>
      </c>
      <c r="I9" s="17" t="s">
        <v>47</v>
      </c>
    </row>
    <row r="10" spans="1:9" ht="15" customHeight="1" x14ac:dyDescent="0.3">
      <c r="A10" s="16" t="s">
        <v>24</v>
      </c>
      <c r="B10" s="25">
        <v>118</v>
      </c>
      <c r="C10" s="28"/>
      <c r="D10" s="28"/>
      <c r="E10" s="28"/>
      <c r="F10" s="28"/>
      <c r="G10" s="15">
        <v>0.49643022985836999</v>
      </c>
      <c r="H10" s="26">
        <f>AVERAGE(G10)</f>
        <v>0.49643022985836999</v>
      </c>
      <c r="I10" s="17" t="s">
        <v>47</v>
      </c>
    </row>
    <row r="12" spans="1:9" ht="15" customHeight="1" x14ac:dyDescent="0.3">
      <c r="A12" s="8" t="s">
        <v>48</v>
      </c>
      <c r="B12" s="8"/>
      <c r="C12" s="8"/>
      <c r="D12" s="8"/>
      <c r="E12" s="8"/>
      <c r="F12" s="8"/>
      <c r="G12" s="8"/>
      <c r="H12" s="8"/>
      <c r="I12" s="8"/>
    </row>
  </sheetData>
  <mergeCells count="3">
    <mergeCell ref="A1:I1"/>
    <mergeCell ref="A2:I2"/>
    <mergeCell ref="A12:I12"/>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32"/>
  <sheetViews>
    <sheetView zoomScaleNormal="100" workbookViewId="0">
      <pane xSplit="1" ySplit="2" topLeftCell="B3" activePane="bottomRight" state="frozen"/>
      <selection pane="topRight" activeCell="B1" sqref="B1"/>
      <selection pane="bottomLeft" activeCell="A3" sqref="A3"/>
      <selection pane="bottomRight"/>
    </sheetView>
  </sheetViews>
  <sheetFormatPr baseColWidth="10" defaultColWidth="8.6640625" defaultRowHeight="14.4" x14ac:dyDescent="0.3"/>
  <cols>
    <col min="1" max="1" width="22" customWidth="1"/>
    <col min="2" max="12" width="10" customWidth="1"/>
    <col min="13" max="13" width="12" customWidth="1"/>
    <col min="14" max="14" width="40" customWidth="1"/>
  </cols>
  <sheetData>
    <row r="1" spans="1:14" ht="15" customHeight="1" x14ac:dyDescent="0.3">
      <c r="A1" s="11" t="s">
        <v>49</v>
      </c>
      <c r="B1" s="11"/>
      <c r="C1" s="11"/>
      <c r="D1" s="11"/>
      <c r="E1" s="11"/>
      <c r="F1" s="11"/>
      <c r="G1" s="11"/>
      <c r="H1" s="11"/>
      <c r="I1" s="11"/>
      <c r="J1" s="11"/>
      <c r="K1" s="11"/>
      <c r="L1" s="11"/>
      <c r="M1" s="11"/>
      <c r="N1" s="11"/>
    </row>
    <row r="2" spans="1:14" ht="18" customHeight="1" x14ac:dyDescent="0.3">
      <c r="A2" s="7" t="s">
        <v>50</v>
      </c>
      <c r="B2" s="7"/>
      <c r="C2" s="7"/>
      <c r="D2" s="7"/>
      <c r="E2" s="7"/>
      <c r="F2" s="7"/>
      <c r="G2" s="7"/>
      <c r="H2" s="7"/>
      <c r="I2" s="7"/>
      <c r="J2" s="7"/>
      <c r="K2" s="7"/>
      <c r="L2" s="7"/>
      <c r="M2" s="7"/>
    </row>
    <row r="3" spans="1:14" ht="27.75" customHeight="1" x14ac:dyDescent="0.3">
      <c r="A3" s="12" t="s">
        <v>51</v>
      </c>
      <c r="B3" s="12" t="s">
        <v>52</v>
      </c>
      <c r="C3" s="12" t="s">
        <v>53</v>
      </c>
      <c r="D3" s="12" t="s">
        <v>54</v>
      </c>
      <c r="E3" s="12" t="s">
        <v>55</v>
      </c>
      <c r="F3" s="12" t="s">
        <v>56</v>
      </c>
      <c r="G3" s="12" t="s">
        <v>57</v>
      </c>
      <c r="H3" s="12" t="s">
        <v>58</v>
      </c>
      <c r="I3" s="12" t="s">
        <v>59</v>
      </c>
      <c r="J3" s="12" t="s">
        <v>60</v>
      </c>
      <c r="K3" s="12" t="s">
        <v>61</v>
      </c>
      <c r="L3" s="12" t="s">
        <v>62</v>
      </c>
      <c r="M3" s="12" t="s">
        <v>63</v>
      </c>
      <c r="N3" s="12" t="s">
        <v>10</v>
      </c>
    </row>
    <row r="4" spans="1:14" ht="15" customHeight="1" x14ac:dyDescent="0.3">
      <c r="A4" s="16" t="s">
        <v>64</v>
      </c>
      <c r="B4" s="25">
        <v>214</v>
      </c>
      <c r="C4" s="25">
        <v>227</v>
      </c>
      <c r="D4" s="25">
        <v>248</v>
      </c>
      <c r="E4" s="25">
        <v>284</v>
      </c>
      <c r="F4" s="25">
        <v>318</v>
      </c>
      <c r="G4" s="25">
        <v>333</v>
      </c>
      <c r="H4" s="25">
        <v>351</v>
      </c>
      <c r="I4" s="25">
        <v>369</v>
      </c>
      <c r="J4" s="25">
        <v>396</v>
      </c>
      <c r="K4" s="25">
        <v>415</v>
      </c>
      <c r="L4" s="25">
        <v>439</v>
      </c>
      <c r="M4" s="15">
        <v>7.4999999999999997E-2</v>
      </c>
      <c r="N4" s="17" t="s">
        <v>65</v>
      </c>
    </row>
    <row r="5" spans="1:14" ht="15" customHeight="1" x14ac:dyDescent="0.3">
      <c r="A5" s="16" t="s">
        <v>66</v>
      </c>
      <c r="B5" s="25">
        <v>45</v>
      </c>
      <c r="C5" s="25">
        <v>47</v>
      </c>
      <c r="D5" s="25">
        <v>55</v>
      </c>
      <c r="E5" s="25">
        <v>56</v>
      </c>
      <c r="F5" s="25">
        <v>60</v>
      </c>
      <c r="G5" s="25">
        <v>69</v>
      </c>
      <c r="H5" s="25">
        <v>67</v>
      </c>
      <c r="I5" s="25">
        <v>60</v>
      </c>
      <c r="J5" s="25">
        <v>65</v>
      </c>
      <c r="K5" s="25">
        <v>67</v>
      </c>
      <c r="L5" s="25">
        <v>72</v>
      </c>
      <c r="M5" s="15">
        <v>4.7E-2</v>
      </c>
      <c r="N5" s="17" t="s">
        <v>65</v>
      </c>
    </row>
    <row r="6" spans="1:14" ht="15" customHeight="1" x14ac:dyDescent="0.3">
      <c r="A6" s="16" t="s">
        <v>67</v>
      </c>
      <c r="B6" s="25">
        <v>80</v>
      </c>
      <c r="C6" s="25">
        <v>89</v>
      </c>
      <c r="D6" s="25">
        <v>108</v>
      </c>
      <c r="E6" s="25">
        <v>110</v>
      </c>
      <c r="F6" s="25">
        <v>124</v>
      </c>
      <c r="G6" s="25">
        <v>111</v>
      </c>
      <c r="H6" s="25">
        <v>91</v>
      </c>
      <c r="I6" s="25">
        <v>102</v>
      </c>
      <c r="J6" s="25">
        <v>111</v>
      </c>
      <c r="K6" s="25">
        <v>114</v>
      </c>
      <c r="L6" s="25">
        <v>122</v>
      </c>
      <c r="M6" s="15">
        <v>4.2999999999999997E-2</v>
      </c>
      <c r="N6" s="17" t="s">
        <v>65</v>
      </c>
    </row>
    <row r="7" spans="1:14" ht="15" customHeight="1" x14ac:dyDescent="0.3">
      <c r="A7" s="16" t="s">
        <v>68</v>
      </c>
      <c r="B7" s="25">
        <v>741</v>
      </c>
      <c r="C7" s="25">
        <v>1008</v>
      </c>
      <c r="D7" s="25">
        <v>1159</v>
      </c>
      <c r="E7" s="25">
        <v>1171</v>
      </c>
      <c r="F7" s="25">
        <v>1267</v>
      </c>
      <c r="G7" s="25">
        <v>1328</v>
      </c>
      <c r="H7" s="25">
        <v>1495</v>
      </c>
      <c r="I7" s="25">
        <v>1526</v>
      </c>
      <c r="J7" s="25">
        <v>1437</v>
      </c>
      <c r="K7" s="25">
        <v>1590</v>
      </c>
      <c r="L7" s="25">
        <v>1696</v>
      </c>
      <c r="M7" s="15">
        <v>8.5999999999999993E-2</v>
      </c>
      <c r="N7" s="17" t="s">
        <v>65</v>
      </c>
    </row>
    <row r="8" spans="1:14" ht="15" customHeight="1" x14ac:dyDescent="0.3">
      <c r="A8" s="29" t="s">
        <v>69</v>
      </c>
      <c r="B8" s="30">
        <v>1080</v>
      </c>
      <c r="C8" s="30">
        <v>1372</v>
      </c>
      <c r="D8" s="30">
        <v>1571</v>
      </c>
      <c r="E8" s="30">
        <v>1620</v>
      </c>
      <c r="F8" s="30">
        <v>1770</v>
      </c>
      <c r="G8" s="30">
        <v>1841</v>
      </c>
      <c r="H8" s="30">
        <v>2005</v>
      </c>
      <c r="I8" s="30">
        <v>2057</v>
      </c>
      <c r="J8" s="30">
        <v>2009</v>
      </c>
      <c r="K8" s="30">
        <v>2186</v>
      </c>
      <c r="L8" s="30">
        <v>2328</v>
      </c>
      <c r="M8" s="31">
        <v>0.08</v>
      </c>
      <c r="N8" s="23" t="s">
        <v>65</v>
      </c>
    </row>
    <row r="11" spans="1:14" ht="18" customHeight="1" x14ac:dyDescent="0.3">
      <c r="A11" s="7" t="s">
        <v>70</v>
      </c>
      <c r="B11" s="7"/>
      <c r="C11" s="7"/>
      <c r="D11" s="7"/>
      <c r="E11" s="7"/>
      <c r="F11" s="7"/>
      <c r="G11" s="7"/>
      <c r="H11" s="7"/>
      <c r="I11" s="7"/>
      <c r="J11" s="7"/>
      <c r="K11" s="7"/>
      <c r="L11" s="7"/>
      <c r="M11" s="7"/>
      <c r="N11" s="7"/>
    </row>
    <row r="12" spans="1:14" ht="21.75" customHeight="1" x14ac:dyDescent="0.3">
      <c r="A12" s="12" t="s">
        <v>51</v>
      </c>
      <c r="B12" s="12" t="s">
        <v>3</v>
      </c>
      <c r="C12" s="12" t="s">
        <v>4</v>
      </c>
      <c r="D12" s="12" t="s">
        <v>5</v>
      </c>
      <c r="E12" s="12" t="s">
        <v>6</v>
      </c>
      <c r="F12" s="12" t="s">
        <v>7</v>
      </c>
      <c r="G12" s="12" t="s">
        <v>71</v>
      </c>
      <c r="H12" s="12" t="s">
        <v>10</v>
      </c>
    </row>
    <row r="13" spans="1:14" ht="27.75" customHeight="1" x14ac:dyDescent="0.3">
      <c r="A13" s="16" t="s">
        <v>72</v>
      </c>
      <c r="B13" s="14">
        <v>549.71</v>
      </c>
      <c r="C13" s="14">
        <v>569.12</v>
      </c>
      <c r="D13" s="14">
        <v>622.41</v>
      </c>
      <c r="E13" s="14">
        <v>677.85</v>
      </c>
      <c r="F13" s="14">
        <v>723.84</v>
      </c>
      <c r="G13" s="15">
        <f>(F13/B13)^(1/4)-1</f>
        <v>7.1216455222262498E-2</v>
      </c>
      <c r="H13" s="17" t="s">
        <v>73</v>
      </c>
    </row>
    <row r="14" spans="1:14" ht="27.75" customHeight="1" x14ac:dyDescent="0.3">
      <c r="A14" s="16" t="s">
        <v>74</v>
      </c>
      <c r="B14" s="14">
        <v>81.489999999999995</v>
      </c>
      <c r="C14" s="14">
        <v>108.61</v>
      </c>
      <c r="D14" s="14">
        <v>221.38</v>
      </c>
      <c r="E14" s="14">
        <v>197.77</v>
      </c>
      <c r="F14" s="14">
        <v>109.99</v>
      </c>
      <c r="G14" s="15">
        <f>(F14/B14)^(1/4)-1</f>
        <v>7.7859666818591133E-2</v>
      </c>
      <c r="H14" s="17" t="s">
        <v>73</v>
      </c>
    </row>
    <row r="15" spans="1:14" ht="27.75" customHeight="1" x14ac:dyDescent="0.3">
      <c r="A15" s="16" t="s">
        <v>75</v>
      </c>
      <c r="B15" s="14">
        <v>1330.1</v>
      </c>
      <c r="C15" s="14">
        <v>1796.76</v>
      </c>
      <c r="D15" s="14">
        <v>2621.39</v>
      </c>
      <c r="E15" s="14">
        <v>4814.12</v>
      </c>
      <c r="F15" s="14">
        <v>6291.17</v>
      </c>
      <c r="G15" s="15">
        <f>(F15/B15)^(1/4)-1</f>
        <v>0.47472751022379711</v>
      </c>
      <c r="H15" s="17" t="s">
        <v>73</v>
      </c>
    </row>
    <row r="16" spans="1:14" ht="27.75" customHeight="1" x14ac:dyDescent="0.3">
      <c r="A16" s="29" t="s">
        <v>76</v>
      </c>
      <c r="B16" s="21">
        <v>1961.31</v>
      </c>
      <c r="C16" s="21">
        <v>2474.4899999999998</v>
      </c>
      <c r="D16" s="21">
        <v>3465.18</v>
      </c>
      <c r="E16" s="21">
        <v>5689.74</v>
      </c>
      <c r="F16" s="21">
        <v>7125</v>
      </c>
      <c r="G16" s="31">
        <f>(F16/B16)^(1/4)-1</f>
        <v>0.38057389298845545</v>
      </c>
      <c r="H16" s="23" t="s">
        <v>73</v>
      </c>
    </row>
    <row r="19" spans="1:14" ht="15" customHeight="1" x14ac:dyDescent="0.3">
      <c r="A19" s="7" t="s">
        <v>77</v>
      </c>
      <c r="B19" s="7"/>
      <c r="C19" s="7"/>
      <c r="D19" s="7"/>
      <c r="E19" s="7"/>
      <c r="F19" s="7"/>
      <c r="G19" s="7"/>
      <c r="H19" s="7"/>
      <c r="I19" s="7"/>
      <c r="J19" s="7"/>
      <c r="K19" s="7"/>
      <c r="L19" s="7"/>
      <c r="M19" s="7"/>
      <c r="N19" s="7"/>
    </row>
    <row r="20" spans="1:14" ht="21.75" customHeight="1" x14ac:dyDescent="0.3">
      <c r="A20" s="12" t="s">
        <v>78</v>
      </c>
      <c r="B20" s="12" t="s">
        <v>79</v>
      </c>
      <c r="C20" s="12" t="s">
        <v>80</v>
      </c>
      <c r="D20" s="12" t="s">
        <v>9</v>
      </c>
      <c r="E20" s="12" t="s">
        <v>10</v>
      </c>
    </row>
    <row r="21" spans="1:14" ht="42.75" customHeight="1" x14ac:dyDescent="0.3">
      <c r="A21" s="16" t="s">
        <v>81</v>
      </c>
      <c r="B21" s="25">
        <v>399</v>
      </c>
      <c r="C21" s="25">
        <v>808</v>
      </c>
      <c r="D21" s="16" t="s">
        <v>82</v>
      </c>
      <c r="E21" s="17" t="s">
        <v>83</v>
      </c>
    </row>
    <row r="22" spans="1:14" ht="42.75" customHeight="1" x14ac:dyDescent="0.3">
      <c r="A22" s="16" t="s">
        <v>84</v>
      </c>
      <c r="B22" s="25">
        <v>2328</v>
      </c>
      <c r="C22" s="25">
        <v>5317</v>
      </c>
      <c r="D22" s="16" t="s">
        <v>82</v>
      </c>
      <c r="E22" s="17" t="s">
        <v>83</v>
      </c>
    </row>
    <row r="23" spans="1:14" ht="32.25" customHeight="1" x14ac:dyDescent="0.3">
      <c r="A23" s="16" t="s">
        <v>85</v>
      </c>
      <c r="B23" s="15">
        <v>0.66600000000000004</v>
      </c>
      <c r="C23" s="15">
        <v>0.751</v>
      </c>
      <c r="D23" s="16" t="s">
        <v>86</v>
      </c>
      <c r="E23" s="17" t="s">
        <v>83</v>
      </c>
    </row>
    <row r="26" spans="1:14" ht="15" customHeight="1" x14ac:dyDescent="0.3">
      <c r="A26" s="7" t="s">
        <v>87</v>
      </c>
      <c r="B26" s="7"/>
      <c r="C26" s="7"/>
      <c r="D26" s="7"/>
      <c r="E26" s="7"/>
      <c r="F26" s="7"/>
      <c r="G26" s="7"/>
      <c r="H26" s="7"/>
      <c r="I26" s="7"/>
      <c r="J26" s="7"/>
      <c r="K26" s="7"/>
      <c r="L26" s="7"/>
      <c r="M26" s="7"/>
      <c r="N26" s="7"/>
    </row>
    <row r="27" spans="1:14" ht="21.75" customHeight="1" x14ac:dyDescent="0.3">
      <c r="A27" s="12" t="s">
        <v>88</v>
      </c>
      <c r="B27" s="12" t="s">
        <v>89</v>
      </c>
      <c r="C27" s="12" t="s">
        <v>90</v>
      </c>
      <c r="D27" s="12" t="s">
        <v>91</v>
      </c>
      <c r="E27" s="12" t="s">
        <v>10</v>
      </c>
    </row>
    <row r="28" spans="1:14" ht="27.75" customHeight="1" x14ac:dyDescent="0.3">
      <c r="A28" s="28">
        <v>2020</v>
      </c>
      <c r="B28" s="14">
        <v>374.53</v>
      </c>
      <c r="C28" s="28" t="s">
        <v>92</v>
      </c>
      <c r="D28" s="28" t="s">
        <v>93</v>
      </c>
      <c r="E28" s="17" t="s">
        <v>94</v>
      </c>
    </row>
    <row r="29" spans="1:14" ht="27.75" customHeight="1" x14ac:dyDescent="0.3">
      <c r="A29" s="28">
        <v>2021</v>
      </c>
      <c r="B29" s="14">
        <v>435.35</v>
      </c>
      <c r="C29" s="28" t="s">
        <v>95</v>
      </c>
      <c r="D29" s="28" t="s">
        <v>96</v>
      </c>
      <c r="E29" s="17" t="s">
        <v>94</v>
      </c>
    </row>
    <row r="30" spans="1:14" ht="27.75" customHeight="1" x14ac:dyDescent="0.3">
      <c r="A30" s="28">
        <v>2022</v>
      </c>
      <c r="B30" s="14">
        <v>629.23</v>
      </c>
      <c r="C30" s="28" t="s">
        <v>97</v>
      </c>
      <c r="D30" s="28" t="s">
        <v>98</v>
      </c>
      <c r="E30" s="17" t="s">
        <v>94</v>
      </c>
    </row>
    <row r="31" spans="1:14" ht="27.75" customHeight="1" x14ac:dyDescent="0.3">
      <c r="A31" s="28">
        <v>2023</v>
      </c>
      <c r="B31" s="14">
        <v>955.51</v>
      </c>
      <c r="C31" s="28" t="s">
        <v>99</v>
      </c>
      <c r="D31" s="28" t="s">
        <v>98</v>
      </c>
      <c r="E31" s="17" t="s">
        <v>94</v>
      </c>
    </row>
    <row r="32" spans="1:14" ht="27.75" customHeight="1" x14ac:dyDescent="0.3">
      <c r="A32" s="28">
        <v>2024</v>
      </c>
      <c r="B32" s="14">
        <v>1026.44</v>
      </c>
      <c r="C32" s="28" t="s">
        <v>100</v>
      </c>
      <c r="D32" s="28" t="s">
        <v>101</v>
      </c>
      <c r="E32" s="17" t="s">
        <v>94</v>
      </c>
    </row>
  </sheetData>
  <mergeCells count="5">
    <mergeCell ref="A1:N1"/>
    <mergeCell ref="A2:M2"/>
    <mergeCell ref="A11:N11"/>
    <mergeCell ref="A19:N19"/>
    <mergeCell ref="A26:N26"/>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46"/>
  <sheetViews>
    <sheetView zoomScaleNormal="100" workbookViewId="0">
      <pane xSplit="1" ySplit="3" topLeftCell="B4" activePane="bottomRight" state="frozen"/>
      <selection pane="topRight" activeCell="B1" sqref="B1"/>
      <selection pane="bottomLeft" activeCell="A4" sqref="A4"/>
      <selection pane="bottomRight"/>
    </sheetView>
  </sheetViews>
  <sheetFormatPr baseColWidth="10" defaultColWidth="8.6640625" defaultRowHeight="14.4" x14ac:dyDescent="0.3"/>
  <cols>
    <col min="1" max="1" width="12" customWidth="1"/>
    <col min="2" max="2" width="16" customWidth="1"/>
    <col min="3" max="3" width="24" customWidth="1"/>
    <col min="4" max="4" width="22" customWidth="1"/>
    <col min="5" max="5" width="20" customWidth="1"/>
    <col min="6" max="6" width="42" customWidth="1"/>
    <col min="7" max="8" width="40" customWidth="1"/>
    <col min="9" max="10" width="10" customWidth="1"/>
  </cols>
  <sheetData>
    <row r="1" spans="1:16" ht="15" customHeight="1" x14ac:dyDescent="0.3">
      <c r="A1" s="11" t="s">
        <v>102</v>
      </c>
      <c r="B1" s="11"/>
      <c r="C1" s="11"/>
      <c r="D1" s="11"/>
      <c r="E1" s="11"/>
      <c r="F1" s="11"/>
      <c r="G1" s="11"/>
      <c r="H1" s="11"/>
      <c r="I1" s="11"/>
      <c r="J1" s="11"/>
      <c r="K1" s="11"/>
      <c r="L1" s="11"/>
      <c r="M1" s="11"/>
      <c r="N1" s="11"/>
      <c r="O1" s="11"/>
      <c r="P1" s="11"/>
    </row>
    <row r="2" spans="1:16" ht="27.75" customHeight="1" x14ac:dyDescent="0.3">
      <c r="A2" s="9" t="s">
        <v>103</v>
      </c>
      <c r="B2" s="9"/>
      <c r="C2" s="9"/>
      <c r="D2" s="9"/>
      <c r="E2" s="9"/>
      <c r="F2" s="9"/>
      <c r="G2" s="9"/>
      <c r="H2" s="9"/>
      <c r="I2" s="9"/>
      <c r="J2" s="9"/>
      <c r="K2" s="9"/>
      <c r="L2" s="9"/>
      <c r="M2" s="9"/>
      <c r="N2" s="9"/>
      <c r="O2" s="9"/>
      <c r="P2" s="9"/>
    </row>
    <row r="3" spans="1:16" ht="15" customHeight="1" x14ac:dyDescent="0.3">
      <c r="A3" s="7" t="s">
        <v>104</v>
      </c>
      <c r="B3" s="7"/>
      <c r="C3" s="7"/>
      <c r="D3" s="7"/>
      <c r="E3" s="7"/>
      <c r="F3" s="7"/>
      <c r="G3" s="7"/>
      <c r="H3" s="7"/>
      <c r="I3" s="7"/>
      <c r="J3" s="7"/>
      <c r="K3" s="7"/>
      <c r="L3" s="7"/>
      <c r="M3" s="7"/>
      <c r="N3" s="7"/>
      <c r="O3" s="7"/>
      <c r="P3" s="7"/>
    </row>
    <row r="4" spans="1:16" ht="34.5" customHeight="1" x14ac:dyDescent="0.3">
      <c r="A4" s="12" t="s">
        <v>105</v>
      </c>
      <c r="B4" s="12" t="s">
        <v>106</v>
      </c>
      <c r="C4" s="12" t="s">
        <v>107</v>
      </c>
      <c r="D4" s="12" t="s">
        <v>108</v>
      </c>
      <c r="E4" s="12" t="s">
        <v>109</v>
      </c>
      <c r="F4" s="12" t="s">
        <v>110</v>
      </c>
      <c r="G4" s="12" t="s">
        <v>111</v>
      </c>
      <c r="H4" s="12" t="s">
        <v>10</v>
      </c>
    </row>
    <row r="5" spans="1:16" ht="15" customHeight="1" x14ac:dyDescent="0.3">
      <c r="A5" s="28" t="s">
        <v>112</v>
      </c>
      <c r="B5" s="32">
        <v>34.369999999999997</v>
      </c>
      <c r="C5" s="32">
        <v>49.25</v>
      </c>
      <c r="D5" s="15">
        <f t="shared" ref="D5:D28" si="0">C5/B5</f>
        <v>1.4329356997381439</v>
      </c>
      <c r="E5" s="32">
        <v>6.35</v>
      </c>
      <c r="F5" s="32">
        <v>4.7699999999999996</v>
      </c>
      <c r="G5" s="15">
        <f t="shared" ref="G5:G28" si="1">F5/E5</f>
        <v>0.7511811023622047</v>
      </c>
      <c r="H5" s="17" t="s">
        <v>113</v>
      </c>
    </row>
    <row r="6" spans="1:16" ht="15" customHeight="1" x14ac:dyDescent="0.3">
      <c r="A6" s="28" t="s">
        <v>114</v>
      </c>
      <c r="B6" s="32">
        <v>33.520000000000003</v>
      </c>
      <c r="C6" s="32">
        <v>42.6</v>
      </c>
      <c r="D6" s="15">
        <f t="shared" si="0"/>
        <v>1.2708830548926013</v>
      </c>
      <c r="E6" s="32">
        <v>5.81</v>
      </c>
      <c r="F6" s="32">
        <v>3.45</v>
      </c>
      <c r="G6" s="15">
        <f t="shared" si="1"/>
        <v>0.59380378657487098</v>
      </c>
      <c r="H6" s="17" t="s">
        <v>113</v>
      </c>
    </row>
    <row r="7" spans="1:16" ht="15" customHeight="1" x14ac:dyDescent="0.3">
      <c r="A7" s="28" t="s">
        <v>115</v>
      </c>
      <c r="B7" s="32">
        <v>33.08</v>
      </c>
      <c r="C7" s="32">
        <v>38.94</v>
      </c>
      <c r="D7" s="15">
        <f t="shared" si="0"/>
        <v>1.1771463119709795</v>
      </c>
      <c r="E7" s="32">
        <v>5.56</v>
      </c>
      <c r="F7" s="32">
        <v>3.37</v>
      </c>
      <c r="G7" s="15">
        <f t="shared" si="1"/>
        <v>0.60611510791366907</v>
      </c>
      <c r="H7" s="17" t="s">
        <v>113</v>
      </c>
    </row>
    <row r="8" spans="1:16" ht="15" customHeight="1" x14ac:dyDescent="0.3">
      <c r="A8" s="28" t="s">
        <v>116</v>
      </c>
      <c r="B8" s="32">
        <v>32.340000000000003</v>
      </c>
      <c r="C8" s="32">
        <v>36.4</v>
      </c>
      <c r="D8" s="15">
        <f t="shared" si="0"/>
        <v>1.1255411255411254</v>
      </c>
      <c r="E8" s="32">
        <v>5.54</v>
      </c>
      <c r="F8" s="32">
        <v>3.42</v>
      </c>
      <c r="G8" s="15">
        <f t="shared" si="1"/>
        <v>0.61732851985559567</v>
      </c>
      <c r="H8" s="17" t="s">
        <v>113</v>
      </c>
    </row>
    <row r="9" spans="1:16" ht="15" customHeight="1" x14ac:dyDescent="0.3">
      <c r="A9" s="28" t="s">
        <v>117</v>
      </c>
      <c r="B9" s="32">
        <v>32.799999999999997</v>
      </c>
      <c r="C9" s="32">
        <v>36.26</v>
      </c>
      <c r="D9" s="15">
        <f t="shared" si="0"/>
        <v>1.1054878048780488</v>
      </c>
      <c r="E9" s="32">
        <v>5.35</v>
      </c>
      <c r="F9" s="32">
        <v>3.37</v>
      </c>
      <c r="G9" s="15">
        <f t="shared" si="1"/>
        <v>0.62990654205607488</v>
      </c>
      <c r="H9" s="17" t="s">
        <v>113</v>
      </c>
    </row>
    <row r="10" spans="1:16" ht="15" customHeight="1" x14ac:dyDescent="0.3">
      <c r="A10" s="28" t="s">
        <v>118</v>
      </c>
      <c r="B10" s="32">
        <v>32.619999999999997</v>
      </c>
      <c r="C10" s="32">
        <v>37.78</v>
      </c>
      <c r="D10" s="15">
        <f t="shared" si="0"/>
        <v>1.1581851624770081</v>
      </c>
      <c r="E10" s="32">
        <v>5.62</v>
      </c>
      <c r="F10" s="32">
        <v>3.57</v>
      </c>
      <c r="G10" s="15">
        <f t="shared" si="1"/>
        <v>0.63523131672597866</v>
      </c>
      <c r="H10" s="17" t="s">
        <v>113</v>
      </c>
    </row>
    <row r="11" spans="1:16" ht="15" customHeight="1" x14ac:dyDescent="0.3">
      <c r="A11" s="28" t="s">
        <v>119</v>
      </c>
      <c r="B11" s="32">
        <v>36.799999999999997</v>
      </c>
      <c r="C11" s="32">
        <v>43.59</v>
      </c>
      <c r="D11" s="15">
        <f t="shared" si="0"/>
        <v>1.1845108695652176</v>
      </c>
      <c r="E11" s="32">
        <v>6.37</v>
      </c>
      <c r="F11" s="32">
        <v>4.41</v>
      </c>
      <c r="G11" s="15">
        <f t="shared" si="1"/>
        <v>0.69230769230769229</v>
      </c>
      <c r="H11" s="17" t="s">
        <v>113</v>
      </c>
    </row>
    <row r="12" spans="1:16" ht="15" customHeight="1" x14ac:dyDescent="0.3">
      <c r="A12" s="28" t="s">
        <v>120</v>
      </c>
      <c r="B12" s="32">
        <v>44.84</v>
      </c>
      <c r="C12" s="32">
        <v>61.67</v>
      </c>
      <c r="D12" s="15">
        <f t="shared" si="0"/>
        <v>1.3753345227475469</v>
      </c>
      <c r="E12" s="32">
        <v>6.7</v>
      </c>
      <c r="F12" s="32">
        <v>5.24</v>
      </c>
      <c r="G12" s="15">
        <f t="shared" si="1"/>
        <v>0.78208955223880594</v>
      </c>
      <c r="H12" s="17" t="s">
        <v>113</v>
      </c>
    </row>
    <row r="13" spans="1:16" ht="15" customHeight="1" x14ac:dyDescent="0.3">
      <c r="A13" s="28" t="s">
        <v>121</v>
      </c>
      <c r="B13" s="32">
        <v>39.979999999999997</v>
      </c>
      <c r="C13" s="32">
        <v>76.209999999999994</v>
      </c>
      <c r="D13" s="15">
        <f t="shared" si="0"/>
        <v>1.9062031015507754</v>
      </c>
      <c r="E13" s="32">
        <v>6.54</v>
      </c>
      <c r="F13" s="32">
        <v>5.87</v>
      </c>
      <c r="G13" s="15">
        <f t="shared" si="1"/>
        <v>0.89755351681957185</v>
      </c>
      <c r="H13" s="17" t="s">
        <v>113</v>
      </c>
    </row>
    <row r="14" spans="1:16" ht="15" customHeight="1" x14ac:dyDescent="0.3">
      <c r="A14" s="28" t="s">
        <v>122</v>
      </c>
      <c r="B14" s="32">
        <v>39.450000000000003</v>
      </c>
      <c r="C14" s="32">
        <v>75.81</v>
      </c>
      <c r="D14" s="15">
        <f t="shared" si="0"/>
        <v>1.9216730038022813</v>
      </c>
      <c r="E14" s="32">
        <v>7.71</v>
      </c>
      <c r="F14" s="32">
        <v>6.11</v>
      </c>
      <c r="G14" s="15">
        <f t="shared" si="1"/>
        <v>0.79247730220492874</v>
      </c>
      <c r="H14" s="17" t="s">
        <v>113</v>
      </c>
    </row>
    <row r="15" spans="1:16" ht="15" customHeight="1" x14ac:dyDescent="0.3">
      <c r="A15" s="28" t="s">
        <v>123</v>
      </c>
      <c r="B15" s="32">
        <v>39.99</v>
      </c>
      <c r="C15" s="32">
        <v>75.94</v>
      </c>
      <c r="D15" s="15">
        <f t="shared" si="0"/>
        <v>1.8989747436859212</v>
      </c>
      <c r="E15" s="32">
        <v>8.59</v>
      </c>
      <c r="F15" s="32">
        <v>7.3</v>
      </c>
      <c r="G15" s="15">
        <f t="shared" si="1"/>
        <v>0.84982537834691496</v>
      </c>
      <c r="H15" s="17" t="s">
        <v>113</v>
      </c>
    </row>
    <row r="16" spans="1:16" ht="15" customHeight="1" x14ac:dyDescent="0.3">
      <c r="A16" s="28" t="s">
        <v>124</v>
      </c>
      <c r="B16" s="32">
        <v>38.950000000000003</v>
      </c>
      <c r="C16" s="32">
        <v>72.02</v>
      </c>
      <c r="D16" s="15">
        <f t="shared" si="0"/>
        <v>1.8490372272143771</v>
      </c>
      <c r="E16" s="32">
        <v>8.9600000000000009</v>
      </c>
      <c r="F16" s="32">
        <v>7.16</v>
      </c>
      <c r="G16" s="15">
        <f t="shared" si="1"/>
        <v>0.79910714285714279</v>
      </c>
      <c r="H16" s="17" t="s">
        <v>113</v>
      </c>
    </row>
    <row r="17" spans="1:16" ht="15" customHeight="1" x14ac:dyDescent="0.3">
      <c r="A17" s="28" t="s">
        <v>125</v>
      </c>
      <c r="B17" s="32">
        <v>38.58</v>
      </c>
      <c r="C17" s="32">
        <v>70.98</v>
      </c>
      <c r="D17" s="15">
        <f t="shared" si="0"/>
        <v>1.8398133748055989</v>
      </c>
      <c r="E17" s="32">
        <v>8.89</v>
      </c>
      <c r="F17" s="32">
        <v>6.9</v>
      </c>
      <c r="G17" s="15">
        <f t="shared" si="1"/>
        <v>0.77615298087739026</v>
      </c>
      <c r="H17" s="17" t="s">
        <v>113</v>
      </c>
    </row>
    <row r="18" spans="1:16" ht="15" customHeight="1" x14ac:dyDescent="0.3">
      <c r="A18" s="28" t="s">
        <v>126</v>
      </c>
      <c r="B18" s="32">
        <v>38.6</v>
      </c>
      <c r="C18" s="32">
        <v>71.08</v>
      </c>
      <c r="D18" s="15">
        <f t="shared" si="0"/>
        <v>1.8414507772020725</v>
      </c>
      <c r="E18" s="32">
        <v>8.93</v>
      </c>
      <c r="F18" s="32">
        <v>5.8</v>
      </c>
      <c r="G18" s="15">
        <f t="shared" si="1"/>
        <v>0.64949608062709963</v>
      </c>
      <c r="H18" s="17" t="s">
        <v>113</v>
      </c>
    </row>
    <row r="19" spans="1:16" ht="15" customHeight="1" x14ac:dyDescent="0.3">
      <c r="A19" s="28" t="s">
        <v>127</v>
      </c>
      <c r="B19" s="32">
        <v>36.25</v>
      </c>
      <c r="C19" s="32">
        <v>73.14</v>
      </c>
      <c r="D19" s="15">
        <f t="shared" si="0"/>
        <v>2.017655172413793</v>
      </c>
      <c r="E19" s="32">
        <v>8.7200000000000006</v>
      </c>
      <c r="F19" s="32">
        <v>5.57</v>
      </c>
      <c r="G19" s="15">
        <f t="shared" si="1"/>
        <v>0.63876146788990829</v>
      </c>
      <c r="H19" s="17" t="s">
        <v>113</v>
      </c>
    </row>
    <row r="20" spans="1:16" ht="15" customHeight="1" x14ac:dyDescent="0.3">
      <c r="A20" s="28" t="s">
        <v>93</v>
      </c>
      <c r="B20" s="32">
        <v>36.590000000000003</v>
      </c>
      <c r="C20" s="32">
        <v>72.91</v>
      </c>
      <c r="D20" s="15">
        <f t="shared" si="0"/>
        <v>1.9926209346816066</v>
      </c>
      <c r="E20" s="32">
        <v>8.93</v>
      </c>
      <c r="F20" s="32">
        <v>6.56</v>
      </c>
      <c r="G20" s="15">
        <f t="shared" si="1"/>
        <v>0.73460246360582304</v>
      </c>
      <c r="H20" s="17" t="s">
        <v>113</v>
      </c>
    </row>
    <row r="21" spans="1:16" ht="15" customHeight="1" x14ac:dyDescent="0.3">
      <c r="A21" s="28" t="s">
        <v>128</v>
      </c>
      <c r="B21" s="32">
        <v>35.71</v>
      </c>
      <c r="C21" s="32">
        <v>75.48</v>
      </c>
      <c r="D21" s="15">
        <f t="shared" si="0"/>
        <v>2.1136936432371884</v>
      </c>
      <c r="E21" s="32">
        <v>8.9600000000000009</v>
      </c>
      <c r="F21" s="32">
        <v>6.8</v>
      </c>
      <c r="G21" s="15">
        <f t="shared" si="1"/>
        <v>0.75892857142857129</v>
      </c>
      <c r="H21" s="17" t="s">
        <v>113</v>
      </c>
    </row>
    <row r="22" spans="1:16" ht="15" customHeight="1" x14ac:dyDescent="0.3">
      <c r="A22" s="28" t="s">
        <v>129</v>
      </c>
      <c r="B22" s="32">
        <v>36.21</v>
      </c>
      <c r="C22" s="32">
        <v>79.069999999999993</v>
      </c>
      <c r="D22" s="15">
        <f t="shared" si="0"/>
        <v>2.1836509251587959</v>
      </c>
      <c r="E22" s="32">
        <v>8.73</v>
      </c>
      <c r="F22" s="32">
        <v>6.86</v>
      </c>
      <c r="G22" s="15">
        <f t="shared" si="1"/>
        <v>0.78579610538373423</v>
      </c>
      <c r="H22" s="17" t="s">
        <v>113</v>
      </c>
    </row>
    <row r="23" spans="1:16" ht="15" customHeight="1" x14ac:dyDescent="0.3">
      <c r="A23" s="28" t="s">
        <v>98</v>
      </c>
      <c r="B23" s="32">
        <v>39.31</v>
      </c>
      <c r="C23" s="32">
        <v>90.52</v>
      </c>
      <c r="D23" s="15">
        <f t="shared" si="0"/>
        <v>2.3027219537013481</v>
      </c>
      <c r="E23" s="32">
        <v>7.8</v>
      </c>
      <c r="F23" s="32">
        <v>7.78</v>
      </c>
      <c r="G23" s="15">
        <f t="shared" si="1"/>
        <v>0.99743589743589745</v>
      </c>
      <c r="H23" s="17" t="s">
        <v>113</v>
      </c>
    </row>
    <row r="24" spans="1:16" ht="15" customHeight="1" x14ac:dyDescent="0.3">
      <c r="A24" s="28" t="s">
        <v>130</v>
      </c>
      <c r="B24" s="32">
        <v>43.81</v>
      </c>
      <c r="C24" s="32">
        <v>93.8</v>
      </c>
      <c r="D24" s="15">
        <f t="shared" si="0"/>
        <v>2.1410636840903901</v>
      </c>
      <c r="E24" s="32">
        <v>8.19</v>
      </c>
      <c r="F24" s="32">
        <v>7.5</v>
      </c>
      <c r="G24" s="15">
        <f t="shared" si="1"/>
        <v>0.91575091575091583</v>
      </c>
      <c r="H24" s="17" t="s">
        <v>113</v>
      </c>
    </row>
    <row r="25" spans="1:16" ht="15" customHeight="1" x14ac:dyDescent="0.3">
      <c r="A25" s="28" t="s">
        <v>131</v>
      </c>
      <c r="B25" s="32">
        <v>48.34</v>
      </c>
      <c r="C25" s="32">
        <v>93.21</v>
      </c>
      <c r="D25" s="15">
        <f t="shared" si="0"/>
        <v>1.928216797683078</v>
      </c>
      <c r="E25" s="32">
        <v>8.48</v>
      </c>
      <c r="F25" s="32">
        <v>6.28</v>
      </c>
      <c r="G25" s="15">
        <f t="shared" si="1"/>
        <v>0.74056603773584906</v>
      </c>
      <c r="H25" s="17" t="s">
        <v>113</v>
      </c>
    </row>
    <row r="26" spans="1:16" ht="15" customHeight="1" x14ac:dyDescent="0.3">
      <c r="A26" s="28" t="s">
        <v>132</v>
      </c>
      <c r="B26" s="32">
        <v>44.47</v>
      </c>
      <c r="C26" s="32">
        <v>88.76</v>
      </c>
      <c r="D26" s="15">
        <f t="shared" si="0"/>
        <v>1.9959523274117383</v>
      </c>
      <c r="E26" s="32">
        <v>7.9</v>
      </c>
      <c r="F26" s="32">
        <v>5.81</v>
      </c>
      <c r="G26" s="15">
        <f t="shared" si="1"/>
        <v>0.73544303797468347</v>
      </c>
      <c r="H26" s="17" t="s">
        <v>113</v>
      </c>
    </row>
    <row r="27" spans="1:16" ht="15" customHeight="1" x14ac:dyDescent="0.3">
      <c r="A27" s="28" t="s">
        <v>133</v>
      </c>
      <c r="B27" s="32">
        <v>38.82</v>
      </c>
      <c r="C27" s="32">
        <v>76.680000000000007</v>
      </c>
      <c r="D27" s="15">
        <f t="shared" si="0"/>
        <v>1.9752704791344669</v>
      </c>
      <c r="E27" s="32">
        <v>7.44</v>
      </c>
      <c r="F27" s="32">
        <v>4.8499999999999996</v>
      </c>
      <c r="G27" s="15">
        <f t="shared" si="1"/>
        <v>0.65188172043010739</v>
      </c>
      <c r="H27" s="17" t="s">
        <v>113</v>
      </c>
    </row>
    <row r="28" spans="1:16" ht="15" customHeight="1" x14ac:dyDescent="0.3">
      <c r="A28" s="28" t="s">
        <v>134</v>
      </c>
      <c r="B28" s="32">
        <v>35.82</v>
      </c>
      <c r="C28" s="32">
        <v>62.18</v>
      </c>
      <c r="D28" s="15">
        <f t="shared" si="0"/>
        <v>1.7359017308766052</v>
      </c>
      <c r="E28" s="32">
        <v>6.71</v>
      </c>
      <c r="F28" s="32">
        <v>4.16</v>
      </c>
      <c r="G28" s="15">
        <f t="shared" si="1"/>
        <v>0.61997019374068552</v>
      </c>
      <c r="H28" s="17" t="s">
        <v>113</v>
      </c>
    </row>
    <row r="31" spans="1:16" ht="15" customHeight="1" x14ac:dyDescent="0.3">
      <c r="A31" s="7" t="s">
        <v>135</v>
      </c>
      <c r="B31" s="7"/>
      <c r="C31" s="7"/>
      <c r="D31" s="7"/>
      <c r="E31" s="7"/>
      <c r="F31" s="7"/>
      <c r="G31" s="7"/>
      <c r="H31" s="7"/>
      <c r="I31" s="7"/>
      <c r="J31" s="7"/>
      <c r="K31" s="7"/>
      <c r="L31" s="7"/>
      <c r="M31" s="7"/>
      <c r="N31" s="7"/>
      <c r="O31" s="7"/>
      <c r="P31" s="7"/>
    </row>
    <row r="32" spans="1:16" ht="21.75" customHeight="1" x14ac:dyDescent="0.3">
      <c r="A32" s="12" t="s">
        <v>136</v>
      </c>
      <c r="B32" s="12" t="s">
        <v>137</v>
      </c>
      <c r="C32" s="12" t="s">
        <v>138</v>
      </c>
      <c r="D32" s="12" t="s">
        <v>139</v>
      </c>
      <c r="E32" s="12" t="s">
        <v>140</v>
      </c>
      <c r="F32" s="12" t="s">
        <v>141</v>
      </c>
      <c r="G32" s="12" t="s">
        <v>10</v>
      </c>
    </row>
    <row r="33" spans="1:8" ht="15" customHeight="1" x14ac:dyDescent="0.3">
      <c r="A33" s="33" t="s">
        <v>142</v>
      </c>
      <c r="B33" s="33" t="s">
        <v>143</v>
      </c>
      <c r="C33" s="34" t="s">
        <v>144</v>
      </c>
      <c r="D33" s="34" t="s">
        <v>145</v>
      </c>
      <c r="E33" s="34" t="s">
        <v>146</v>
      </c>
      <c r="F33" s="34" t="s">
        <v>147</v>
      </c>
      <c r="G33" s="34" t="s">
        <v>148</v>
      </c>
    </row>
    <row r="34" spans="1:8" ht="15" customHeight="1" x14ac:dyDescent="0.3">
      <c r="A34" s="33" t="s">
        <v>149</v>
      </c>
      <c r="B34" s="33" t="s">
        <v>143</v>
      </c>
      <c r="C34" s="34" t="s">
        <v>150</v>
      </c>
      <c r="D34" s="34" t="s">
        <v>151</v>
      </c>
      <c r="E34" s="34" t="s">
        <v>146</v>
      </c>
      <c r="F34" s="34" t="s">
        <v>152</v>
      </c>
      <c r="G34" s="34" t="s">
        <v>153</v>
      </c>
    </row>
    <row r="35" spans="1:8" ht="15" customHeight="1" x14ac:dyDescent="0.3">
      <c r="A35" s="33" t="s">
        <v>154</v>
      </c>
      <c r="B35" s="33" t="s">
        <v>155</v>
      </c>
      <c r="C35" s="34" t="s">
        <v>156</v>
      </c>
      <c r="D35" s="34" t="s">
        <v>156</v>
      </c>
      <c r="E35" s="34" t="s">
        <v>157</v>
      </c>
      <c r="F35" s="34" t="s">
        <v>158</v>
      </c>
      <c r="G35" s="34" t="s">
        <v>159</v>
      </c>
    </row>
    <row r="36" spans="1:8" ht="15" customHeight="1" x14ac:dyDescent="0.3">
      <c r="A36" s="35" t="s">
        <v>160</v>
      </c>
      <c r="B36" s="35" t="s">
        <v>161</v>
      </c>
      <c r="C36" s="36" t="s">
        <v>162</v>
      </c>
      <c r="D36" s="36" t="s">
        <v>162</v>
      </c>
      <c r="E36" s="36" t="s">
        <v>163</v>
      </c>
      <c r="F36" s="36" t="s">
        <v>164</v>
      </c>
      <c r="G36" s="36" t="s">
        <v>159</v>
      </c>
    </row>
    <row r="37" spans="1:8" ht="15" customHeight="1" x14ac:dyDescent="0.3">
      <c r="A37" s="35" t="s">
        <v>165</v>
      </c>
      <c r="B37" s="35" t="s">
        <v>161</v>
      </c>
      <c r="C37" s="36" t="s">
        <v>166</v>
      </c>
      <c r="D37" s="36" t="s">
        <v>163</v>
      </c>
      <c r="E37" s="36" t="s">
        <v>163</v>
      </c>
      <c r="F37" s="36" t="s">
        <v>167</v>
      </c>
      <c r="G37" s="37" t="s">
        <v>168</v>
      </c>
    </row>
    <row r="38" spans="1:8" ht="15" customHeight="1" x14ac:dyDescent="0.3">
      <c r="A38" s="35" t="s">
        <v>169</v>
      </c>
      <c r="B38" s="35" t="s">
        <v>170</v>
      </c>
      <c r="C38" s="36" t="s">
        <v>171</v>
      </c>
      <c r="D38" s="36" t="s">
        <v>157</v>
      </c>
      <c r="E38" s="36" t="s">
        <v>163</v>
      </c>
      <c r="F38" s="36" t="s">
        <v>172</v>
      </c>
      <c r="G38" s="37" t="s">
        <v>168</v>
      </c>
    </row>
    <row r="39" spans="1:8" ht="15" customHeight="1" x14ac:dyDescent="0.3">
      <c r="A39" s="35" t="s">
        <v>173</v>
      </c>
      <c r="B39" s="35" t="s">
        <v>174</v>
      </c>
      <c r="C39" s="36" t="s">
        <v>175</v>
      </c>
      <c r="D39" s="36" t="s">
        <v>176</v>
      </c>
      <c r="E39" s="36" t="s">
        <v>163</v>
      </c>
      <c r="F39" s="36" t="s">
        <v>177</v>
      </c>
      <c r="G39" s="37" t="s">
        <v>178</v>
      </c>
    </row>
    <row r="40" spans="1:8" ht="15" customHeight="1" x14ac:dyDescent="0.3">
      <c r="A40" s="35" t="s">
        <v>179</v>
      </c>
      <c r="B40" s="35" t="s">
        <v>174</v>
      </c>
      <c r="C40" s="36" t="s">
        <v>175</v>
      </c>
      <c r="D40" s="36" t="s">
        <v>180</v>
      </c>
      <c r="E40" s="36" t="s">
        <v>181</v>
      </c>
      <c r="F40" s="36" t="s">
        <v>182</v>
      </c>
      <c r="G40" s="37" t="s">
        <v>178</v>
      </c>
    </row>
    <row r="41" spans="1:8" ht="15" customHeight="1" x14ac:dyDescent="0.3">
      <c r="A41" s="35" t="s">
        <v>183</v>
      </c>
      <c r="B41" s="35" t="s">
        <v>184</v>
      </c>
      <c r="C41" s="36" t="s">
        <v>185</v>
      </c>
      <c r="D41" s="36" t="s">
        <v>157</v>
      </c>
      <c r="E41" s="36" t="s">
        <v>163</v>
      </c>
      <c r="F41" s="36" t="s">
        <v>186</v>
      </c>
      <c r="G41" s="37" t="s">
        <v>168</v>
      </c>
    </row>
    <row r="42" spans="1:8" ht="15" customHeight="1" x14ac:dyDescent="0.3">
      <c r="A42" s="35" t="s">
        <v>187</v>
      </c>
      <c r="B42" s="35" t="s">
        <v>188</v>
      </c>
      <c r="C42" s="36" t="s">
        <v>189</v>
      </c>
      <c r="D42" s="36" t="s">
        <v>163</v>
      </c>
      <c r="E42" s="36" t="s">
        <v>190</v>
      </c>
      <c r="F42" s="36" t="s">
        <v>191</v>
      </c>
      <c r="G42" s="37" t="s">
        <v>168</v>
      </c>
    </row>
    <row r="43" spans="1:8" ht="15" customHeight="1" x14ac:dyDescent="0.3">
      <c r="A43" s="28" t="s">
        <v>192</v>
      </c>
      <c r="B43" s="28" t="s">
        <v>193</v>
      </c>
      <c r="C43" s="16" t="s">
        <v>194</v>
      </c>
      <c r="D43" s="16" t="s">
        <v>194</v>
      </c>
      <c r="E43" s="16" t="s">
        <v>195</v>
      </c>
      <c r="F43" s="16" t="s">
        <v>196</v>
      </c>
      <c r="G43" s="16" t="s">
        <v>197</v>
      </c>
    </row>
    <row r="44" spans="1:8" ht="15" customHeight="1" x14ac:dyDescent="0.3">
      <c r="A44" s="33" t="s">
        <v>198</v>
      </c>
      <c r="B44" s="33" t="s">
        <v>143</v>
      </c>
      <c r="C44" s="34" t="s">
        <v>156</v>
      </c>
      <c r="D44" s="34" t="s">
        <v>145</v>
      </c>
      <c r="E44" s="34" t="s">
        <v>199</v>
      </c>
      <c r="F44" s="34" t="s">
        <v>200</v>
      </c>
      <c r="G44" s="34" t="s">
        <v>94</v>
      </c>
    </row>
    <row r="46" spans="1:8" ht="15" customHeight="1" x14ac:dyDescent="0.3">
      <c r="A46" s="6" t="s">
        <v>201</v>
      </c>
      <c r="B46" s="6"/>
      <c r="C46" s="6"/>
      <c r="D46" s="6"/>
      <c r="E46" s="6"/>
      <c r="F46" s="6"/>
      <c r="G46" s="6"/>
      <c r="H46" s="6"/>
    </row>
  </sheetData>
  <mergeCells count="5">
    <mergeCell ref="A1:P1"/>
    <mergeCell ref="A2:P2"/>
    <mergeCell ref="A3:P3"/>
    <mergeCell ref="A31:P31"/>
    <mergeCell ref="A46:H46"/>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3"/>
  <sheetViews>
    <sheetView zoomScaleNormal="100" workbookViewId="0">
      <pane xSplit="1" ySplit="2" topLeftCell="B3" activePane="bottomRight" state="frozen"/>
      <selection pane="topRight" activeCell="B1" sqref="B1"/>
      <selection pane="bottomLeft" activeCell="A3" sqref="A3"/>
      <selection pane="bottomRight"/>
    </sheetView>
  </sheetViews>
  <sheetFormatPr baseColWidth="10" defaultColWidth="8.6640625" defaultRowHeight="14.4" x14ac:dyDescent="0.3"/>
  <cols>
    <col min="1" max="1" width="36" customWidth="1"/>
    <col min="2" max="6" width="12" customWidth="1"/>
    <col min="7" max="7" width="8" customWidth="1"/>
    <col min="8" max="8" width="48" customWidth="1"/>
  </cols>
  <sheetData>
    <row r="1" spans="1:8" ht="15" customHeight="1" x14ac:dyDescent="0.3">
      <c r="A1" s="11" t="s">
        <v>202</v>
      </c>
      <c r="B1" s="11"/>
      <c r="C1" s="11"/>
      <c r="D1" s="11"/>
      <c r="E1" s="11"/>
      <c r="F1" s="11"/>
      <c r="G1" s="11"/>
      <c r="H1" s="11"/>
    </row>
    <row r="2" spans="1:8" ht="15" customHeight="1" x14ac:dyDescent="0.3">
      <c r="A2" s="12" t="s">
        <v>78</v>
      </c>
      <c r="B2" s="12" t="s">
        <v>3</v>
      </c>
      <c r="C2" s="12" t="s">
        <v>4</v>
      </c>
      <c r="D2" s="12" t="s">
        <v>5</v>
      </c>
      <c r="E2" s="12" t="s">
        <v>6</v>
      </c>
      <c r="F2" s="12" t="s">
        <v>7</v>
      </c>
      <c r="G2" s="12" t="s">
        <v>203</v>
      </c>
      <c r="H2" s="12" t="s">
        <v>10</v>
      </c>
    </row>
    <row r="3" spans="1:8" ht="15" customHeight="1" x14ac:dyDescent="0.3">
      <c r="A3" s="16" t="s">
        <v>204</v>
      </c>
      <c r="B3" s="14">
        <v>2154.02</v>
      </c>
      <c r="C3" s="14">
        <v>2670.95</v>
      </c>
      <c r="D3" s="14">
        <v>3662.96</v>
      </c>
      <c r="E3" s="14">
        <v>5922.04</v>
      </c>
      <c r="F3" s="14">
        <v>7548.99</v>
      </c>
      <c r="G3" s="28" t="s">
        <v>205</v>
      </c>
      <c r="H3" s="17" t="s">
        <v>73</v>
      </c>
    </row>
    <row r="4" spans="1:8" ht="15" customHeight="1" x14ac:dyDescent="0.3">
      <c r="A4" s="16" t="s">
        <v>206</v>
      </c>
      <c r="B4" s="14">
        <v>2128.58</v>
      </c>
      <c r="C4" s="14">
        <v>2649.54</v>
      </c>
      <c r="D4" s="14">
        <v>3439.59</v>
      </c>
      <c r="E4" s="14">
        <v>5304.09</v>
      </c>
      <c r="F4" s="14">
        <v>6122.49</v>
      </c>
      <c r="G4" s="28" t="s">
        <v>205</v>
      </c>
      <c r="H4" s="17" t="s">
        <v>73</v>
      </c>
    </row>
    <row r="5" spans="1:8" ht="15" customHeight="1" x14ac:dyDescent="0.3">
      <c r="A5" s="16" t="s">
        <v>207</v>
      </c>
      <c r="B5" s="18">
        <v>0</v>
      </c>
      <c r="C5" s="18">
        <v>0</v>
      </c>
      <c r="D5" s="18">
        <v>203.92</v>
      </c>
      <c r="E5" s="18">
        <v>597.67999999999995</v>
      </c>
      <c r="F5" s="18">
        <v>1406.38</v>
      </c>
      <c r="G5" s="28" t="s">
        <v>205</v>
      </c>
      <c r="H5" s="17" t="s">
        <v>208</v>
      </c>
    </row>
    <row r="6" spans="1:8" ht="15" customHeight="1" x14ac:dyDescent="0.3">
      <c r="A6" s="16" t="s">
        <v>209</v>
      </c>
      <c r="B6" s="14">
        <v>25.44</v>
      </c>
      <c r="C6" s="14">
        <v>21.41</v>
      </c>
      <c r="D6" s="14">
        <v>19.45</v>
      </c>
      <c r="E6" s="14">
        <v>19.64</v>
      </c>
      <c r="F6" s="14">
        <v>16.899999999999999</v>
      </c>
      <c r="G6" s="28" t="s">
        <v>205</v>
      </c>
      <c r="H6" s="17" t="s">
        <v>73</v>
      </c>
    </row>
    <row r="7" spans="1:8" ht="15" customHeight="1" x14ac:dyDescent="0.3">
      <c r="A7" s="16" t="s">
        <v>210</v>
      </c>
      <c r="B7" s="14">
        <v>1961.31</v>
      </c>
      <c r="C7" s="14">
        <v>2474.4899999999998</v>
      </c>
      <c r="D7" s="14">
        <v>3465.18</v>
      </c>
      <c r="E7" s="14">
        <v>5689.74</v>
      </c>
      <c r="F7" s="14">
        <v>7125</v>
      </c>
      <c r="G7" s="28" t="s">
        <v>205</v>
      </c>
      <c r="H7" s="17" t="s">
        <v>73</v>
      </c>
    </row>
    <row r="8" spans="1:8" ht="15" customHeight="1" x14ac:dyDescent="0.3">
      <c r="A8" s="16" t="s">
        <v>211</v>
      </c>
      <c r="B8" s="14">
        <v>9156.7099999999991</v>
      </c>
      <c r="C8" s="14">
        <v>8074.27</v>
      </c>
      <c r="D8" s="14">
        <v>7240.21</v>
      </c>
      <c r="E8" s="14">
        <v>5135.0600000000004</v>
      </c>
      <c r="F8" s="14">
        <v>5456.44</v>
      </c>
      <c r="G8" s="28" t="s">
        <v>205</v>
      </c>
      <c r="H8" s="17" t="s">
        <v>212</v>
      </c>
    </row>
    <row r="9" spans="1:8" ht="15" customHeight="1" x14ac:dyDescent="0.3">
      <c r="A9" s="16" t="s">
        <v>213</v>
      </c>
      <c r="B9" s="14">
        <v>11366.71</v>
      </c>
      <c r="C9" s="14">
        <v>10800.3</v>
      </c>
      <c r="D9" s="14">
        <v>10754.05</v>
      </c>
      <c r="E9" s="14">
        <v>10516.02</v>
      </c>
      <c r="F9" s="14">
        <v>11648.68</v>
      </c>
      <c r="G9" s="28" t="s">
        <v>205</v>
      </c>
      <c r="H9" s="17" t="s">
        <v>214</v>
      </c>
    </row>
    <row r="10" spans="1:8" ht="15" customHeight="1" x14ac:dyDescent="0.3">
      <c r="A10" s="16" t="s">
        <v>215</v>
      </c>
      <c r="B10" s="38">
        <v>1.7000000000000001E-2</v>
      </c>
      <c r="C10" s="38">
        <v>1.83E-2</v>
      </c>
      <c r="D10" s="38">
        <v>1.8100000000000002E-2</v>
      </c>
      <c r="E10" s="38">
        <v>2.1399999999999999E-2</v>
      </c>
      <c r="F10" s="38">
        <v>2.1499999999999998E-2</v>
      </c>
      <c r="G10" s="28" t="s">
        <v>216</v>
      </c>
      <c r="H10" s="17" t="s">
        <v>217</v>
      </c>
    </row>
    <row r="11" spans="1:8" ht="15" customHeight="1" x14ac:dyDescent="0.3">
      <c r="A11" s="16" t="s">
        <v>218</v>
      </c>
      <c r="B11" s="38">
        <v>9.3700000000000006E-2</v>
      </c>
      <c r="C11" s="38">
        <v>7.51E-2</v>
      </c>
      <c r="D11" s="38">
        <v>7.2999999999999995E-2</v>
      </c>
      <c r="E11" s="38">
        <v>7.8600000000000003E-2</v>
      </c>
      <c r="F11" s="38">
        <v>8.0500000000000002E-2</v>
      </c>
      <c r="G11" s="28" t="s">
        <v>216</v>
      </c>
      <c r="H11" s="17" t="s">
        <v>217</v>
      </c>
    </row>
    <row r="12" spans="1:8" ht="15" customHeight="1" x14ac:dyDescent="0.3">
      <c r="A12" s="16" t="s">
        <v>219</v>
      </c>
      <c r="B12" s="14">
        <v>374.53</v>
      </c>
      <c r="C12" s="14">
        <v>435.35</v>
      </c>
      <c r="D12" s="14">
        <v>629.23</v>
      </c>
      <c r="E12" s="14">
        <v>955.51</v>
      </c>
      <c r="F12" s="14">
        <v>1026.44</v>
      </c>
      <c r="G12" s="28" t="s">
        <v>220</v>
      </c>
      <c r="H12" s="17" t="s">
        <v>94</v>
      </c>
    </row>
    <row r="13" spans="1:8" ht="15" customHeight="1" x14ac:dyDescent="0.3">
      <c r="A13" s="16" t="s">
        <v>221</v>
      </c>
      <c r="B13" s="25">
        <v>213629</v>
      </c>
      <c r="C13" s="25">
        <v>222058</v>
      </c>
      <c r="D13" s="25">
        <v>232465</v>
      </c>
      <c r="E13" s="25">
        <v>243285</v>
      </c>
      <c r="F13" s="25">
        <v>255517</v>
      </c>
      <c r="G13" s="28" t="s">
        <v>222</v>
      </c>
      <c r="H13" s="17" t="s">
        <v>73</v>
      </c>
    </row>
  </sheetData>
  <mergeCells count="1">
    <mergeCell ref="A1:H1"/>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29"/>
  <sheetViews>
    <sheetView zoomScaleNormal="100" workbookViewId="0">
      <pane ySplit="2" topLeftCell="A3" activePane="bottomLeft" state="frozen"/>
      <selection pane="bottomLeft"/>
    </sheetView>
  </sheetViews>
  <sheetFormatPr baseColWidth="10" defaultColWidth="8.6640625" defaultRowHeight="14.4" x14ac:dyDescent="0.3"/>
  <cols>
    <col min="1" max="1" width="20" customWidth="1"/>
    <col min="2" max="3" width="18" customWidth="1"/>
    <col min="4" max="4" width="42" customWidth="1"/>
    <col min="5" max="5" width="52" customWidth="1"/>
    <col min="6" max="7" width="10" customWidth="1"/>
  </cols>
  <sheetData>
    <row r="1" spans="1:7" ht="15" customHeight="1" x14ac:dyDescent="0.3">
      <c r="A1" s="5" t="s">
        <v>223</v>
      </c>
      <c r="B1" s="5"/>
      <c r="C1" s="5"/>
      <c r="D1" s="5"/>
      <c r="E1" s="5"/>
      <c r="F1" s="5"/>
      <c r="G1" s="5"/>
    </row>
    <row r="2" spans="1:7" ht="27.75" customHeight="1" x14ac:dyDescent="0.3">
      <c r="A2" s="4" t="s">
        <v>224</v>
      </c>
      <c r="B2" s="4"/>
      <c r="C2" s="4"/>
      <c r="D2" s="4"/>
      <c r="E2" s="4"/>
      <c r="F2" s="4"/>
      <c r="G2" s="4"/>
    </row>
    <row r="3" spans="1:7" ht="15" customHeight="1" x14ac:dyDescent="0.3">
      <c r="A3" s="3" t="s">
        <v>225</v>
      </c>
      <c r="B3" s="3"/>
      <c r="C3" s="3"/>
      <c r="D3" s="3"/>
      <c r="E3" s="3"/>
      <c r="F3" s="3"/>
      <c r="G3" s="3"/>
    </row>
    <row r="4" spans="1:7" ht="30" customHeight="1" x14ac:dyDescent="0.3">
      <c r="A4" s="39" t="s">
        <v>226</v>
      </c>
      <c r="B4" s="39" t="s">
        <v>227</v>
      </c>
      <c r="C4" s="39" t="s">
        <v>9</v>
      </c>
      <c r="D4" s="39" t="s">
        <v>10</v>
      </c>
    </row>
    <row r="5" spans="1:7" ht="32.25" customHeight="1" x14ac:dyDescent="0.3">
      <c r="A5" s="16" t="s">
        <v>228</v>
      </c>
      <c r="B5" s="40">
        <v>0.52</v>
      </c>
      <c r="C5" s="16" t="s">
        <v>229</v>
      </c>
      <c r="D5" s="17" t="s">
        <v>230</v>
      </c>
    </row>
    <row r="6" spans="1:7" ht="21.75" customHeight="1" x14ac:dyDescent="0.3">
      <c r="A6" s="16" t="s">
        <v>231</v>
      </c>
      <c r="B6" s="41">
        <v>0.08</v>
      </c>
      <c r="C6" s="16" t="s">
        <v>232</v>
      </c>
      <c r="D6" s="17" t="s">
        <v>230</v>
      </c>
    </row>
    <row r="7" spans="1:7" ht="21.75" customHeight="1" x14ac:dyDescent="0.3">
      <c r="A7" s="16" t="s">
        <v>233</v>
      </c>
      <c r="B7" s="41">
        <v>0.08</v>
      </c>
      <c r="C7" s="16" t="s">
        <v>232</v>
      </c>
      <c r="D7" s="17" t="s">
        <v>230</v>
      </c>
    </row>
    <row r="8" spans="1:7" ht="21.75" customHeight="1" x14ac:dyDescent="0.3">
      <c r="A8" s="16" t="s">
        <v>234</v>
      </c>
      <c r="B8" s="41">
        <v>0</v>
      </c>
      <c r="C8" s="16" t="s">
        <v>235</v>
      </c>
      <c r="D8" s="17" t="s">
        <v>230</v>
      </c>
    </row>
    <row r="10" spans="1:7" ht="15" customHeight="1" x14ac:dyDescent="0.3">
      <c r="A10" s="3" t="s">
        <v>236</v>
      </c>
      <c r="B10" s="3"/>
      <c r="C10" s="3"/>
      <c r="D10" s="3"/>
      <c r="E10" s="3"/>
      <c r="F10" s="3"/>
      <c r="G10" s="3"/>
    </row>
    <row r="11" spans="1:7" ht="19.5" customHeight="1" x14ac:dyDescent="0.3">
      <c r="A11" s="4" t="s">
        <v>237</v>
      </c>
      <c r="B11" s="4"/>
      <c r="C11" s="4"/>
      <c r="D11" s="4"/>
      <c r="E11" s="4"/>
      <c r="F11" s="4"/>
      <c r="G11" s="4"/>
    </row>
    <row r="12" spans="1:7" ht="21.75" customHeight="1" x14ac:dyDescent="0.3">
      <c r="A12" s="39" t="s">
        <v>88</v>
      </c>
      <c r="B12" s="39" t="s">
        <v>238</v>
      </c>
      <c r="C12" s="39" t="s">
        <v>239</v>
      </c>
      <c r="D12" s="39" t="s">
        <v>9</v>
      </c>
      <c r="E12" s="39" t="s">
        <v>10</v>
      </c>
    </row>
    <row r="13" spans="1:7" ht="15" customHeight="1" x14ac:dyDescent="0.3">
      <c r="A13" s="28">
        <v>2017</v>
      </c>
      <c r="B13" s="42">
        <v>1.6</v>
      </c>
      <c r="C13" s="43">
        <v>1</v>
      </c>
      <c r="D13" s="16" t="s">
        <v>240</v>
      </c>
      <c r="E13" s="17" t="s">
        <v>230</v>
      </c>
    </row>
    <row r="14" spans="1:7" ht="15" customHeight="1" x14ac:dyDescent="0.3">
      <c r="A14" s="28">
        <v>2018</v>
      </c>
      <c r="B14" s="42">
        <v>1.6</v>
      </c>
      <c r="C14" s="43">
        <v>1</v>
      </c>
      <c r="D14" s="16" t="s">
        <v>240</v>
      </c>
      <c r="E14" s="17" t="s">
        <v>230</v>
      </c>
    </row>
    <row r="15" spans="1:7" ht="15" customHeight="1" x14ac:dyDescent="0.3">
      <c r="A15" s="28">
        <v>2019</v>
      </c>
      <c r="B15" s="42">
        <v>2.2999999999999998</v>
      </c>
      <c r="C15" s="43">
        <v>1</v>
      </c>
      <c r="D15" s="16" t="s">
        <v>241</v>
      </c>
      <c r="E15" s="17" t="s">
        <v>230</v>
      </c>
    </row>
    <row r="16" spans="1:7" ht="15" customHeight="1" x14ac:dyDescent="0.3">
      <c r="A16" s="28">
        <v>2020</v>
      </c>
      <c r="B16" s="42">
        <v>2.2999999999999998</v>
      </c>
      <c r="C16" s="43">
        <v>1</v>
      </c>
      <c r="D16" s="16" t="s">
        <v>240</v>
      </c>
      <c r="E16" s="17" t="s">
        <v>230</v>
      </c>
    </row>
    <row r="17" spans="1:7" ht="15" customHeight="1" x14ac:dyDescent="0.3">
      <c r="A17" s="28">
        <v>2021</v>
      </c>
      <c r="B17" s="42">
        <v>2.2999999999999998</v>
      </c>
      <c r="C17" s="43">
        <v>1</v>
      </c>
      <c r="D17" s="16" t="s">
        <v>240</v>
      </c>
      <c r="E17" s="17" t="s">
        <v>230</v>
      </c>
    </row>
    <row r="18" spans="1:7" ht="15" customHeight="1" x14ac:dyDescent="0.3">
      <c r="A18" s="28">
        <v>2022</v>
      </c>
      <c r="B18" s="42">
        <v>2.2999999999999998</v>
      </c>
      <c r="C18" s="43">
        <v>1</v>
      </c>
      <c r="D18" s="16" t="s">
        <v>240</v>
      </c>
      <c r="E18" s="17" t="s">
        <v>230</v>
      </c>
    </row>
    <row r="19" spans="1:7" ht="15" customHeight="1" x14ac:dyDescent="0.3">
      <c r="A19" s="28">
        <v>2023</v>
      </c>
      <c r="B19" s="42">
        <v>2.2999999999999998</v>
      </c>
      <c r="C19" s="43">
        <v>0.8</v>
      </c>
      <c r="D19" s="16" t="s">
        <v>242</v>
      </c>
      <c r="E19" s="17" t="s">
        <v>230</v>
      </c>
    </row>
    <row r="20" spans="1:7" ht="21.75" customHeight="1" x14ac:dyDescent="0.3">
      <c r="A20" s="28">
        <v>2024</v>
      </c>
      <c r="B20" s="42">
        <v>2.5</v>
      </c>
      <c r="C20" s="43">
        <v>1</v>
      </c>
      <c r="D20" s="16" t="s">
        <v>243</v>
      </c>
      <c r="E20" s="17" t="s">
        <v>230</v>
      </c>
    </row>
    <row r="22" spans="1:7" ht="15" customHeight="1" x14ac:dyDescent="0.3">
      <c r="A22" s="3" t="s">
        <v>244</v>
      </c>
      <c r="B22" s="3"/>
      <c r="C22" s="3"/>
      <c r="D22" s="3"/>
      <c r="E22" s="3"/>
      <c r="F22" s="3"/>
      <c r="G22" s="3"/>
    </row>
    <row r="23" spans="1:7" ht="21.75" customHeight="1" x14ac:dyDescent="0.3">
      <c r="A23" s="39" t="s">
        <v>226</v>
      </c>
      <c r="B23" s="39" t="s">
        <v>245</v>
      </c>
      <c r="C23" s="39" t="s">
        <v>9</v>
      </c>
      <c r="D23" s="39" t="s">
        <v>10</v>
      </c>
    </row>
    <row r="24" spans="1:7" ht="21.75" customHeight="1" x14ac:dyDescent="0.3">
      <c r="A24" s="16" t="s">
        <v>228</v>
      </c>
      <c r="B24" s="44">
        <v>118</v>
      </c>
      <c r="C24" s="16" t="s">
        <v>246</v>
      </c>
      <c r="D24" s="17" t="s">
        <v>230</v>
      </c>
    </row>
    <row r="25" spans="1:7" ht="18.75" customHeight="1" x14ac:dyDescent="0.3">
      <c r="A25" s="16" t="s">
        <v>231</v>
      </c>
      <c r="B25" s="44">
        <v>2</v>
      </c>
      <c r="C25" s="16" t="s">
        <v>247</v>
      </c>
      <c r="D25" s="17" t="s">
        <v>230</v>
      </c>
    </row>
    <row r="26" spans="1:7" ht="18.75" customHeight="1" x14ac:dyDescent="0.3">
      <c r="A26" s="16" t="s">
        <v>233</v>
      </c>
      <c r="B26" s="45">
        <v>0</v>
      </c>
      <c r="C26" s="16" t="s">
        <v>248</v>
      </c>
      <c r="D26" s="17" t="s">
        <v>230</v>
      </c>
    </row>
    <row r="27" spans="1:7" ht="18.75" customHeight="1" x14ac:dyDescent="0.3">
      <c r="A27" s="16" t="s">
        <v>249</v>
      </c>
      <c r="B27" s="45">
        <v>0</v>
      </c>
      <c r="C27" s="16" t="s">
        <v>248</v>
      </c>
      <c r="D27" s="17" t="s">
        <v>230</v>
      </c>
    </row>
    <row r="28" spans="1:7" ht="18.75" customHeight="1" x14ac:dyDescent="0.3">
      <c r="A28" s="16" t="s">
        <v>250</v>
      </c>
      <c r="B28" s="45">
        <v>0</v>
      </c>
      <c r="C28" s="16" t="s">
        <v>248</v>
      </c>
      <c r="D28" s="17" t="s">
        <v>230</v>
      </c>
    </row>
    <row r="29" spans="1:7" ht="18.75" customHeight="1" x14ac:dyDescent="0.3">
      <c r="A29" s="16" t="s">
        <v>251</v>
      </c>
      <c r="B29" s="45">
        <v>0</v>
      </c>
      <c r="C29" s="16" t="s">
        <v>248</v>
      </c>
      <c r="D29" s="17" t="s">
        <v>230</v>
      </c>
    </row>
  </sheetData>
  <mergeCells count="6">
    <mergeCell ref="A22:G22"/>
    <mergeCell ref="A1:G1"/>
    <mergeCell ref="A2:G2"/>
    <mergeCell ref="A3:G3"/>
    <mergeCell ref="A10:G10"/>
    <mergeCell ref="A11:G11"/>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30"/>
  <sheetViews>
    <sheetView zoomScaleNormal="100" workbookViewId="0">
      <pane xSplit="1" ySplit="2" topLeftCell="B3" activePane="bottomRight" state="frozen"/>
      <selection pane="topRight" activeCell="B1" sqref="B1"/>
      <selection pane="bottomLeft" activeCell="A3" sqref="A3"/>
      <selection pane="bottomRight"/>
    </sheetView>
  </sheetViews>
  <sheetFormatPr baseColWidth="10" defaultColWidth="8.6640625" defaultRowHeight="14.4" x14ac:dyDescent="0.3"/>
  <cols>
    <col min="1" max="1" width="20" customWidth="1"/>
    <col min="2" max="2" width="18" customWidth="1"/>
    <col min="3" max="3" width="14" customWidth="1"/>
    <col min="4" max="4" width="12" customWidth="1"/>
    <col min="5" max="5" width="10" customWidth="1"/>
    <col min="6" max="6" width="12" customWidth="1"/>
    <col min="7" max="7" width="38" customWidth="1"/>
    <col min="8" max="8" width="52" customWidth="1"/>
  </cols>
  <sheetData>
    <row r="1" spans="1:8" ht="15" customHeight="1" x14ac:dyDescent="0.3">
      <c r="A1" s="5" t="s">
        <v>252</v>
      </c>
      <c r="B1" s="5"/>
      <c r="C1" s="5"/>
      <c r="D1" s="5"/>
      <c r="E1" s="5"/>
      <c r="F1" s="5"/>
      <c r="G1" s="5"/>
      <c r="H1" s="5"/>
    </row>
    <row r="2" spans="1:8" ht="27.75" customHeight="1" x14ac:dyDescent="0.3">
      <c r="A2" s="4" t="s">
        <v>253</v>
      </c>
      <c r="B2" s="4"/>
      <c r="C2" s="4"/>
      <c r="D2" s="4"/>
      <c r="E2" s="4"/>
      <c r="F2" s="4"/>
      <c r="G2" s="4"/>
      <c r="H2" s="4"/>
    </row>
    <row r="3" spans="1:8" ht="15" customHeight="1" x14ac:dyDescent="0.3">
      <c r="A3" s="3" t="s">
        <v>254</v>
      </c>
      <c r="B3" s="3"/>
      <c r="C3" s="3"/>
      <c r="D3" s="3"/>
      <c r="E3" s="3"/>
      <c r="F3" s="3"/>
      <c r="G3" s="3"/>
      <c r="H3" s="3"/>
    </row>
    <row r="4" spans="1:8" ht="30" customHeight="1" x14ac:dyDescent="0.3">
      <c r="A4" s="39" t="s">
        <v>88</v>
      </c>
      <c r="B4" s="39" t="s">
        <v>255</v>
      </c>
      <c r="C4" s="39" t="s">
        <v>256</v>
      </c>
      <c r="D4" s="39" t="s">
        <v>257</v>
      </c>
      <c r="E4" s="39" t="s">
        <v>258</v>
      </c>
      <c r="F4" s="39" t="s">
        <v>239</v>
      </c>
      <c r="G4" s="39" t="s">
        <v>9</v>
      </c>
      <c r="H4" s="39" t="s">
        <v>10</v>
      </c>
    </row>
    <row r="5" spans="1:8" ht="15" customHeight="1" x14ac:dyDescent="0.3">
      <c r="A5" s="28">
        <v>2018</v>
      </c>
      <c r="B5" s="46">
        <v>7</v>
      </c>
      <c r="C5" s="47">
        <v>7</v>
      </c>
      <c r="D5" s="47"/>
      <c r="E5" s="47"/>
      <c r="F5" s="43">
        <v>1</v>
      </c>
      <c r="G5" s="16" t="s">
        <v>259</v>
      </c>
      <c r="H5" s="17" t="s">
        <v>260</v>
      </c>
    </row>
    <row r="6" spans="1:8" ht="15" customHeight="1" x14ac:dyDescent="0.3">
      <c r="A6" s="28">
        <v>2019</v>
      </c>
      <c r="B6" s="46">
        <v>9</v>
      </c>
      <c r="C6" s="47">
        <v>9</v>
      </c>
      <c r="D6" s="47"/>
      <c r="E6" s="47"/>
      <c r="F6" s="43">
        <v>1</v>
      </c>
      <c r="G6" s="16" t="s">
        <v>259</v>
      </c>
      <c r="H6" s="17" t="s">
        <v>260</v>
      </c>
    </row>
    <row r="7" spans="1:8" ht="15" customHeight="1" x14ac:dyDescent="0.3">
      <c r="A7" s="28">
        <v>2020</v>
      </c>
      <c r="B7" s="46">
        <v>9</v>
      </c>
      <c r="C7" s="47">
        <v>9</v>
      </c>
      <c r="D7" s="47"/>
      <c r="E7" s="47"/>
      <c r="F7" s="43">
        <v>1</v>
      </c>
      <c r="G7" s="16" t="s">
        <v>261</v>
      </c>
      <c r="H7" s="17" t="s">
        <v>260</v>
      </c>
    </row>
    <row r="8" spans="1:8" ht="15" customHeight="1" x14ac:dyDescent="0.3">
      <c r="A8" s="28">
        <v>2021</v>
      </c>
      <c r="B8" s="46">
        <v>11</v>
      </c>
      <c r="C8" s="47">
        <v>11</v>
      </c>
      <c r="D8" s="47"/>
      <c r="E8" s="47"/>
      <c r="F8" s="43">
        <v>1</v>
      </c>
      <c r="G8" s="16" t="s">
        <v>259</v>
      </c>
      <c r="H8" s="17" t="s">
        <v>260</v>
      </c>
    </row>
    <row r="9" spans="1:8" ht="15" customHeight="1" x14ac:dyDescent="0.3">
      <c r="A9" s="28">
        <v>2022</v>
      </c>
      <c r="B9" s="46">
        <v>11</v>
      </c>
      <c r="C9" s="47">
        <v>11</v>
      </c>
      <c r="D9" s="47"/>
      <c r="E9" s="47"/>
      <c r="F9" s="43">
        <v>1</v>
      </c>
      <c r="G9" s="16" t="s">
        <v>259</v>
      </c>
      <c r="H9" s="17" t="s">
        <v>260</v>
      </c>
    </row>
    <row r="10" spans="1:8" ht="15" customHeight="1" x14ac:dyDescent="0.3">
      <c r="A10" s="48">
        <v>2023</v>
      </c>
      <c r="B10" s="49">
        <v>11</v>
      </c>
      <c r="C10" s="50">
        <v>10.535</v>
      </c>
      <c r="D10" s="50">
        <v>1E-3</v>
      </c>
      <c r="E10" s="50">
        <v>0</v>
      </c>
      <c r="F10" s="51">
        <v>1</v>
      </c>
      <c r="G10" s="52" t="s">
        <v>262</v>
      </c>
      <c r="H10" s="17" t="s">
        <v>260</v>
      </c>
    </row>
    <row r="11" spans="1:8" ht="15" customHeight="1" x14ac:dyDescent="0.3">
      <c r="A11" s="2" t="s">
        <v>263</v>
      </c>
      <c r="B11" s="2"/>
      <c r="C11" s="2"/>
      <c r="D11" s="2"/>
      <c r="E11" s="2"/>
      <c r="F11" s="2"/>
      <c r="G11" s="2"/>
      <c r="H11" s="2"/>
    </row>
    <row r="13" spans="1:8" ht="15" customHeight="1" x14ac:dyDescent="0.3">
      <c r="A13" s="3" t="s">
        <v>264</v>
      </c>
      <c r="B13" s="3"/>
      <c r="C13" s="3"/>
      <c r="D13" s="3"/>
      <c r="E13" s="3"/>
      <c r="F13" s="3"/>
      <c r="G13" s="3"/>
      <c r="H13" s="3"/>
    </row>
    <row r="14" spans="1:8" ht="15" customHeight="1" x14ac:dyDescent="0.3">
      <c r="A14" s="39" t="s">
        <v>226</v>
      </c>
      <c r="B14" s="39" t="s">
        <v>265</v>
      </c>
      <c r="C14" s="39" t="s">
        <v>266</v>
      </c>
      <c r="D14" s="39" t="s">
        <v>9</v>
      </c>
      <c r="E14" s="39" t="s">
        <v>10</v>
      </c>
    </row>
    <row r="15" spans="1:8" ht="63.75" customHeight="1" x14ac:dyDescent="0.3">
      <c r="A15" s="16" t="s">
        <v>267</v>
      </c>
      <c r="B15" s="25">
        <v>10535</v>
      </c>
      <c r="C15" s="43">
        <v>1</v>
      </c>
      <c r="D15" s="16" t="s">
        <v>268</v>
      </c>
      <c r="E15" s="17" t="s">
        <v>260</v>
      </c>
    </row>
    <row r="16" spans="1:8" ht="63.75" customHeight="1" x14ac:dyDescent="0.3">
      <c r="A16" s="16" t="s">
        <v>269</v>
      </c>
      <c r="B16" s="25">
        <v>1</v>
      </c>
      <c r="C16" s="43">
        <v>0</v>
      </c>
      <c r="D16" s="16" t="s">
        <v>270</v>
      </c>
      <c r="E16" s="17" t="s">
        <v>260</v>
      </c>
    </row>
    <row r="17" spans="1:8" ht="63.75" customHeight="1" x14ac:dyDescent="0.3">
      <c r="A17" s="16" t="s">
        <v>233</v>
      </c>
      <c r="B17" s="25">
        <v>0</v>
      </c>
      <c r="C17" s="43">
        <v>0</v>
      </c>
      <c r="D17" s="16" t="s">
        <v>271</v>
      </c>
      <c r="E17" s="17" t="s">
        <v>260</v>
      </c>
    </row>
    <row r="18" spans="1:8" ht="63.75" customHeight="1" x14ac:dyDescent="0.3">
      <c r="A18" s="16" t="s">
        <v>249</v>
      </c>
      <c r="B18" s="25">
        <v>0</v>
      </c>
      <c r="C18" s="43">
        <v>0</v>
      </c>
      <c r="D18" s="16" t="s">
        <v>271</v>
      </c>
      <c r="E18" s="17" t="s">
        <v>260</v>
      </c>
    </row>
    <row r="19" spans="1:8" ht="63.75" customHeight="1" x14ac:dyDescent="0.3">
      <c r="A19" s="16" t="s">
        <v>250</v>
      </c>
      <c r="B19" s="25">
        <v>0</v>
      </c>
      <c r="C19" s="43">
        <v>0</v>
      </c>
      <c r="D19" s="16" t="s">
        <v>271</v>
      </c>
      <c r="E19" s="17" t="s">
        <v>260</v>
      </c>
    </row>
    <row r="20" spans="1:8" ht="63.75" customHeight="1" x14ac:dyDescent="0.3">
      <c r="A20" s="16" t="s">
        <v>251</v>
      </c>
      <c r="B20" s="25">
        <v>0</v>
      </c>
      <c r="C20" s="43">
        <v>0</v>
      </c>
      <c r="D20" s="16" t="s">
        <v>271</v>
      </c>
      <c r="E20" s="17" t="s">
        <v>260</v>
      </c>
    </row>
    <row r="21" spans="1:8" ht="63.75" customHeight="1" x14ac:dyDescent="0.3">
      <c r="A21" s="53" t="s">
        <v>69</v>
      </c>
      <c r="B21" s="44">
        <v>10536</v>
      </c>
      <c r="C21" s="51">
        <v>1</v>
      </c>
      <c r="D21" s="52"/>
      <c r="E21" s="17" t="s">
        <v>260</v>
      </c>
    </row>
    <row r="23" spans="1:8" ht="15" customHeight="1" x14ac:dyDescent="0.3">
      <c r="A23" s="8" t="s">
        <v>272</v>
      </c>
      <c r="B23" s="8"/>
      <c r="C23" s="8"/>
      <c r="D23" s="8"/>
      <c r="E23" s="8"/>
      <c r="F23" s="8"/>
      <c r="G23" s="8"/>
      <c r="H23" s="8"/>
    </row>
    <row r="24" spans="1:8" ht="32.25" customHeight="1" x14ac:dyDescent="0.3">
      <c r="A24" s="39" t="s">
        <v>88</v>
      </c>
      <c r="B24" s="39" t="s">
        <v>273</v>
      </c>
      <c r="C24" s="39" t="s">
        <v>9</v>
      </c>
      <c r="D24" s="39" t="s">
        <v>10</v>
      </c>
    </row>
    <row r="25" spans="1:8" ht="36.75" customHeight="1" x14ac:dyDescent="0.3">
      <c r="A25" s="28">
        <v>2018</v>
      </c>
      <c r="B25" s="25">
        <v>7000</v>
      </c>
      <c r="C25" s="16" t="s">
        <v>274</v>
      </c>
      <c r="D25" s="17" t="s">
        <v>260</v>
      </c>
    </row>
    <row r="26" spans="1:8" ht="36.75" customHeight="1" x14ac:dyDescent="0.3">
      <c r="A26" s="28">
        <v>2019</v>
      </c>
      <c r="B26" s="25">
        <v>10000</v>
      </c>
      <c r="C26" s="16" t="s">
        <v>274</v>
      </c>
      <c r="D26" s="17" t="s">
        <v>260</v>
      </c>
    </row>
    <row r="27" spans="1:8" ht="36.75" customHeight="1" x14ac:dyDescent="0.3">
      <c r="A27" s="28">
        <v>2020</v>
      </c>
      <c r="B27" s="25">
        <v>10500</v>
      </c>
      <c r="C27" s="16" t="s">
        <v>274</v>
      </c>
      <c r="D27" s="17" t="s">
        <v>260</v>
      </c>
    </row>
    <row r="28" spans="1:8" ht="36.75" customHeight="1" x14ac:dyDescent="0.3">
      <c r="A28" s="28">
        <v>2021</v>
      </c>
      <c r="B28" s="25">
        <v>13000</v>
      </c>
      <c r="C28" s="16" t="s">
        <v>274</v>
      </c>
      <c r="D28" s="17" t="s">
        <v>260</v>
      </c>
    </row>
    <row r="29" spans="1:8" ht="36.75" customHeight="1" x14ac:dyDescent="0.3">
      <c r="A29" s="28">
        <v>2022</v>
      </c>
      <c r="B29" s="25">
        <v>14500</v>
      </c>
      <c r="C29" s="16" t="s">
        <v>274</v>
      </c>
      <c r="D29" s="17" t="s">
        <v>260</v>
      </c>
    </row>
    <row r="30" spans="1:8" ht="36.75" customHeight="1" x14ac:dyDescent="0.3">
      <c r="A30" s="28">
        <v>2023</v>
      </c>
      <c r="B30" s="25">
        <v>15000</v>
      </c>
      <c r="C30" s="16" t="s">
        <v>274</v>
      </c>
      <c r="D30" s="17" t="s">
        <v>260</v>
      </c>
    </row>
  </sheetData>
  <mergeCells count="6">
    <mergeCell ref="A23:H23"/>
    <mergeCell ref="A1:H1"/>
    <mergeCell ref="A2:H2"/>
    <mergeCell ref="A3:H3"/>
    <mergeCell ref="A11:H11"/>
    <mergeCell ref="A13:H13"/>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28"/>
  <sheetViews>
    <sheetView zoomScaleNormal="100" workbookViewId="0">
      <pane ySplit="2" topLeftCell="A3" activePane="bottomLeft" state="frozen"/>
      <selection pane="bottomLeft"/>
    </sheetView>
  </sheetViews>
  <sheetFormatPr baseColWidth="10" defaultColWidth="8.6640625" defaultRowHeight="14.4" x14ac:dyDescent="0.3"/>
  <cols>
    <col min="1" max="1" width="26" customWidth="1"/>
    <col min="2" max="3" width="14" customWidth="1"/>
    <col min="4" max="4" width="16" customWidth="1"/>
    <col min="5" max="5" width="46" customWidth="1"/>
    <col min="6" max="6" width="52" customWidth="1"/>
    <col min="7" max="7" width="10" customWidth="1"/>
  </cols>
  <sheetData>
    <row r="1" spans="1:7" ht="15" customHeight="1" x14ac:dyDescent="0.3">
      <c r="A1" s="5" t="s">
        <v>275</v>
      </c>
      <c r="B1" s="5"/>
      <c r="C1" s="5"/>
      <c r="D1" s="5"/>
      <c r="E1" s="5"/>
      <c r="F1" s="5"/>
      <c r="G1" s="5"/>
    </row>
    <row r="2" spans="1:7" ht="15" customHeight="1" x14ac:dyDescent="0.3">
      <c r="A2" s="3" t="s">
        <v>276</v>
      </c>
      <c r="B2" s="3"/>
      <c r="C2" s="3"/>
      <c r="D2" s="3"/>
      <c r="E2" s="3"/>
      <c r="F2" s="3"/>
      <c r="G2" s="3"/>
    </row>
    <row r="3" spans="1:7" ht="15" customHeight="1" x14ac:dyDescent="0.3">
      <c r="A3" s="39" t="s">
        <v>78</v>
      </c>
      <c r="B3" s="39" t="s">
        <v>61</v>
      </c>
      <c r="C3" s="39" t="s">
        <v>5</v>
      </c>
      <c r="D3" s="39" t="s">
        <v>203</v>
      </c>
      <c r="E3" s="39" t="s">
        <v>9</v>
      </c>
      <c r="F3" s="39" t="s">
        <v>10</v>
      </c>
    </row>
    <row r="4" spans="1:7" ht="15" customHeight="1" x14ac:dyDescent="0.3">
      <c r="A4" s="16" t="s">
        <v>277</v>
      </c>
      <c r="B4" s="25">
        <v>11715</v>
      </c>
      <c r="C4" s="25">
        <v>15899</v>
      </c>
      <c r="D4" s="28" t="s">
        <v>278</v>
      </c>
      <c r="E4" s="16" t="s">
        <v>279</v>
      </c>
      <c r="F4" s="17" t="s">
        <v>280</v>
      </c>
    </row>
    <row r="5" spans="1:7" ht="15" customHeight="1" x14ac:dyDescent="0.3">
      <c r="A5" s="16" t="s">
        <v>281</v>
      </c>
      <c r="B5" s="25">
        <v>52471</v>
      </c>
      <c r="C5" s="25">
        <v>65733</v>
      </c>
      <c r="D5" s="28" t="s">
        <v>278</v>
      </c>
      <c r="E5" s="16" t="s">
        <v>282</v>
      </c>
      <c r="F5" s="17" t="s">
        <v>280</v>
      </c>
    </row>
    <row r="6" spans="1:7" ht="15" customHeight="1" x14ac:dyDescent="0.3">
      <c r="A6" s="53" t="s">
        <v>283</v>
      </c>
      <c r="B6" s="54">
        <v>64186</v>
      </c>
      <c r="C6" s="44">
        <v>81632</v>
      </c>
      <c r="D6" s="48" t="s">
        <v>278</v>
      </c>
      <c r="E6" s="52"/>
      <c r="F6" s="17" t="s">
        <v>280</v>
      </c>
    </row>
    <row r="7" spans="1:7" ht="15" customHeight="1" x14ac:dyDescent="0.3">
      <c r="A7" s="16" t="s">
        <v>284</v>
      </c>
      <c r="B7" s="43">
        <v>0.82</v>
      </c>
      <c r="C7" s="43">
        <v>0.81</v>
      </c>
      <c r="D7" s="28" t="s">
        <v>216</v>
      </c>
      <c r="E7" s="16" t="s">
        <v>285</v>
      </c>
      <c r="F7" s="17" t="s">
        <v>280</v>
      </c>
    </row>
    <row r="8" spans="1:7" ht="15" customHeight="1" x14ac:dyDescent="0.3">
      <c r="A8" s="16" t="s">
        <v>286</v>
      </c>
      <c r="B8" s="25">
        <v>8660</v>
      </c>
      <c r="C8" s="25">
        <v>16781</v>
      </c>
      <c r="D8" s="28" t="s">
        <v>278</v>
      </c>
      <c r="E8" s="16" t="s">
        <v>287</v>
      </c>
      <c r="F8" s="17" t="s">
        <v>280</v>
      </c>
    </row>
    <row r="9" spans="1:7" ht="15" customHeight="1" x14ac:dyDescent="0.3">
      <c r="A9" s="16" t="s">
        <v>288</v>
      </c>
      <c r="B9" s="25">
        <v>21013</v>
      </c>
      <c r="C9" s="25">
        <v>26419</v>
      </c>
      <c r="D9" s="28" t="s">
        <v>278</v>
      </c>
      <c r="E9" s="16" t="s">
        <v>289</v>
      </c>
      <c r="F9" s="17" t="s">
        <v>280</v>
      </c>
    </row>
    <row r="10" spans="1:7" ht="15" customHeight="1" x14ac:dyDescent="0.3">
      <c r="A10" s="16" t="s">
        <v>290</v>
      </c>
      <c r="B10" s="25">
        <v>12353</v>
      </c>
      <c r="C10" s="25">
        <v>9638</v>
      </c>
      <c r="D10" s="28" t="s">
        <v>278</v>
      </c>
      <c r="E10" s="16" t="s">
        <v>291</v>
      </c>
      <c r="F10" s="17" t="s">
        <v>280</v>
      </c>
    </row>
    <row r="11" spans="1:7" ht="15" customHeight="1" x14ac:dyDescent="0.3">
      <c r="A11" s="16" t="s">
        <v>292</v>
      </c>
      <c r="B11" s="32">
        <v>1.19</v>
      </c>
      <c r="C11" s="32">
        <v>1.1200000000000001</v>
      </c>
      <c r="D11" s="28" t="s">
        <v>293</v>
      </c>
      <c r="E11" s="16" t="s">
        <v>294</v>
      </c>
      <c r="F11" s="17" t="s">
        <v>280</v>
      </c>
    </row>
    <row r="13" spans="1:7" ht="15" customHeight="1" x14ac:dyDescent="0.3">
      <c r="A13" s="3" t="s">
        <v>295</v>
      </c>
      <c r="B13" s="3"/>
      <c r="C13" s="3"/>
      <c r="D13" s="3"/>
      <c r="E13" s="3"/>
      <c r="F13" s="3"/>
      <c r="G13" s="3"/>
    </row>
    <row r="14" spans="1:7" ht="15" customHeight="1" x14ac:dyDescent="0.3">
      <c r="A14" s="39" t="s">
        <v>296</v>
      </c>
      <c r="B14" s="39" t="s">
        <v>297</v>
      </c>
      <c r="C14" s="39" t="s">
        <v>298</v>
      </c>
      <c r="D14" s="39" t="s">
        <v>299</v>
      </c>
      <c r="E14" s="39" t="s">
        <v>9</v>
      </c>
      <c r="F14" s="39" t="s">
        <v>10</v>
      </c>
    </row>
    <row r="15" spans="1:7" ht="15" customHeight="1" x14ac:dyDescent="0.3">
      <c r="A15" s="16" t="s">
        <v>300</v>
      </c>
      <c r="B15" s="25">
        <v>18325</v>
      </c>
      <c r="C15" s="25">
        <v>27903</v>
      </c>
      <c r="D15" s="43">
        <v>0.21</v>
      </c>
      <c r="E15" s="16"/>
      <c r="F15" s="17" t="s">
        <v>230</v>
      </c>
    </row>
    <row r="16" spans="1:7" ht="15" customHeight="1" x14ac:dyDescent="0.3">
      <c r="A16" s="16" t="s">
        <v>301</v>
      </c>
      <c r="B16" s="25">
        <v>0</v>
      </c>
      <c r="C16" s="25">
        <v>0</v>
      </c>
      <c r="D16" s="43">
        <v>0</v>
      </c>
      <c r="E16" s="16" t="s">
        <v>302</v>
      </c>
      <c r="F16" s="17" t="s">
        <v>230</v>
      </c>
    </row>
    <row r="17" spans="1:7" ht="15" customHeight="1" x14ac:dyDescent="0.3">
      <c r="A17" s="16" t="s">
        <v>303</v>
      </c>
      <c r="B17" s="25">
        <v>50130</v>
      </c>
      <c r="C17" s="25">
        <v>57760</v>
      </c>
      <c r="D17" s="43">
        <v>0.44</v>
      </c>
      <c r="E17" s="16" t="s">
        <v>304</v>
      </c>
      <c r="F17" s="17" t="s">
        <v>230</v>
      </c>
    </row>
    <row r="18" spans="1:7" ht="15" customHeight="1" x14ac:dyDescent="0.3">
      <c r="A18" s="16" t="s">
        <v>305</v>
      </c>
      <c r="B18" s="25">
        <v>32037</v>
      </c>
      <c r="C18" s="25">
        <v>44860</v>
      </c>
      <c r="D18" s="43">
        <v>0.34</v>
      </c>
      <c r="E18" s="16" t="s">
        <v>306</v>
      </c>
      <c r="F18" s="17" t="s">
        <v>230</v>
      </c>
    </row>
    <row r="20" spans="1:7" ht="15" customHeight="1" x14ac:dyDescent="0.3">
      <c r="A20" s="3" t="s">
        <v>307</v>
      </c>
      <c r="B20" s="3"/>
      <c r="C20" s="3"/>
      <c r="D20" s="3"/>
      <c r="E20" s="3"/>
      <c r="F20" s="3"/>
      <c r="G20" s="3"/>
    </row>
    <row r="21" spans="1:7" ht="19.5" customHeight="1" x14ac:dyDescent="0.3">
      <c r="A21" s="4" t="s">
        <v>308</v>
      </c>
      <c r="B21" s="4"/>
      <c r="C21" s="4"/>
      <c r="D21" s="4"/>
      <c r="E21" s="4"/>
      <c r="F21" s="4"/>
      <c r="G21" s="4"/>
    </row>
    <row r="22" spans="1:7" ht="32.25" customHeight="1" x14ac:dyDescent="0.3">
      <c r="A22" s="39" t="s">
        <v>88</v>
      </c>
      <c r="B22" s="39" t="s">
        <v>309</v>
      </c>
      <c r="C22" s="39" t="s">
        <v>9</v>
      </c>
      <c r="D22" s="39" t="s">
        <v>10</v>
      </c>
    </row>
    <row r="23" spans="1:7" ht="27.75" customHeight="1" x14ac:dyDescent="0.3">
      <c r="A23" s="28">
        <v>2017</v>
      </c>
      <c r="B23" s="25">
        <v>100</v>
      </c>
      <c r="C23" s="16" t="s">
        <v>310</v>
      </c>
      <c r="D23" s="17" t="s">
        <v>230</v>
      </c>
    </row>
    <row r="24" spans="1:7" ht="27.75" customHeight="1" x14ac:dyDescent="0.3">
      <c r="A24" s="28">
        <v>2018</v>
      </c>
      <c r="B24" s="25">
        <v>105</v>
      </c>
      <c r="C24" s="16" t="s">
        <v>310</v>
      </c>
      <c r="D24" s="17" t="s">
        <v>230</v>
      </c>
    </row>
    <row r="25" spans="1:7" ht="27.75" customHeight="1" x14ac:dyDescent="0.3">
      <c r="A25" s="28">
        <v>2019</v>
      </c>
      <c r="B25" s="25">
        <v>121</v>
      </c>
      <c r="C25" s="16" t="s">
        <v>311</v>
      </c>
      <c r="D25" s="17" t="s">
        <v>230</v>
      </c>
    </row>
    <row r="26" spans="1:7" ht="27.75" customHeight="1" x14ac:dyDescent="0.3">
      <c r="A26" s="28">
        <v>2020</v>
      </c>
      <c r="B26" s="25">
        <v>131</v>
      </c>
      <c r="C26" s="16" t="s">
        <v>310</v>
      </c>
      <c r="D26" s="17" t="s">
        <v>230</v>
      </c>
    </row>
    <row r="27" spans="1:7" ht="27.75" customHeight="1" x14ac:dyDescent="0.3">
      <c r="A27" s="28">
        <v>2021</v>
      </c>
      <c r="B27" s="25">
        <v>132</v>
      </c>
      <c r="C27" s="16" t="s">
        <v>310</v>
      </c>
      <c r="D27" s="17" t="s">
        <v>230</v>
      </c>
    </row>
    <row r="28" spans="1:7" ht="27.75" customHeight="1" x14ac:dyDescent="0.3">
      <c r="A28" s="28">
        <v>2022</v>
      </c>
      <c r="B28" s="25">
        <v>131</v>
      </c>
      <c r="C28" s="16" t="s">
        <v>310</v>
      </c>
      <c r="D28" s="17" t="s">
        <v>230</v>
      </c>
    </row>
  </sheetData>
  <mergeCells count="5">
    <mergeCell ref="A1:G1"/>
    <mergeCell ref="A2:G2"/>
    <mergeCell ref="A13:G13"/>
    <mergeCell ref="A20:G20"/>
    <mergeCell ref="A21:G21"/>
  </mergeCell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29"/>
  <sheetViews>
    <sheetView zoomScaleNormal="100" workbookViewId="0">
      <pane ySplit="2" topLeftCell="A3" activePane="bottomLeft" state="frozen"/>
      <selection pane="bottomLeft"/>
    </sheetView>
  </sheetViews>
  <sheetFormatPr baseColWidth="10" defaultColWidth="8.6640625" defaultRowHeight="14.4" x14ac:dyDescent="0.3"/>
  <cols>
    <col min="1" max="1" width="26" customWidth="1"/>
    <col min="2" max="2" width="18" customWidth="1"/>
    <col min="3" max="3" width="14" customWidth="1"/>
    <col min="4" max="4" width="16" customWidth="1"/>
    <col min="5" max="5" width="46" customWidth="1"/>
    <col min="6" max="6" width="52" customWidth="1"/>
  </cols>
  <sheetData>
    <row r="1" spans="1:6" ht="15" customHeight="1" x14ac:dyDescent="0.3">
      <c r="A1" s="5" t="s">
        <v>312</v>
      </c>
      <c r="B1" s="5"/>
      <c r="C1" s="5"/>
      <c r="D1" s="5"/>
      <c r="E1" s="5"/>
      <c r="F1" s="5"/>
    </row>
    <row r="2" spans="1:6" ht="34.5" customHeight="1" x14ac:dyDescent="0.3">
      <c r="A2" s="4" t="s">
        <v>313</v>
      </c>
      <c r="B2" s="4"/>
      <c r="C2" s="4"/>
      <c r="D2" s="4"/>
      <c r="E2" s="4"/>
      <c r="F2" s="4"/>
    </row>
    <row r="3" spans="1:6" ht="15" customHeight="1" x14ac:dyDescent="0.3">
      <c r="A3" s="3" t="s">
        <v>314</v>
      </c>
      <c r="B3" s="3"/>
      <c r="C3" s="3"/>
      <c r="D3" s="3"/>
      <c r="E3" s="3"/>
      <c r="F3" s="3"/>
    </row>
    <row r="4" spans="1:6" ht="19.5" customHeight="1" x14ac:dyDescent="0.3">
      <c r="A4" s="1" t="s">
        <v>315</v>
      </c>
      <c r="B4" s="1"/>
      <c r="C4" s="1"/>
      <c r="D4" s="1"/>
      <c r="E4" s="1"/>
      <c r="F4" s="1"/>
    </row>
    <row r="5" spans="1:6" ht="21.75" customHeight="1" x14ac:dyDescent="0.3">
      <c r="A5" s="39" t="s">
        <v>316</v>
      </c>
      <c r="B5" s="39" t="s">
        <v>317</v>
      </c>
      <c r="C5" s="39" t="s">
        <v>318</v>
      </c>
      <c r="D5" s="39" t="s">
        <v>319</v>
      </c>
      <c r="E5" s="39" t="s">
        <v>9</v>
      </c>
      <c r="F5" s="39" t="s">
        <v>10</v>
      </c>
    </row>
    <row r="6" spans="1:6" ht="15" customHeight="1" x14ac:dyDescent="0.3">
      <c r="A6" s="28" t="s">
        <v>320</v>
      </c>
      <c r="B6" s="28" t="s">
        <v>321</v>
      </c>
      <c r="C6" s="28" t="s">
        <v>322</v>
      </c>
      <c r="D6" s="28" t="s">
        <v>323</v>
      </c>
      <c r="E6" s="16" t="s">
        <v>324</v>
      </c>
      <c r="F6" s="17" t="s">
        <v>325</v>
      </c>
    </row>
    <row r="7" spans="1:6" ht="15" customHeight="1" x14ac:dyDescent="0.3">
      <c r="A7" s="28" t="s">
        <v>326</v>
      </c>
      <c r="B7" s="28" t="s">
        <v>327</v>
      </c>
      <c r="C7" s="28" t="s">
        <v>323</v>
      </c>
      <c r="D7" s="28" t="s">
        <v>323</v>
      </c>
      <c r="E7" s="16" t="s">
        <v>328</v>
      </c>
      <c r="F7" s="17" t="s">
        <v>325</v>
      </c>
    </row>
    <row r="8" spans="1:6" ht="15" customHeight="1" x14ac:dyDescent="0.3">
      <c r="A8" s="28" t="s">
        <v>329</v>
      </c>
      <c r="B8" s="28" t="s">
        <v>330</v>
      </c>
      <c r="C8" s="28" t="s">
        <v>331</v>
      </c>
      <c r="D8" s="28" t="s">
        <v>323</v>
      </c>
      <c r="E8" s="16" t="s">
        <v>332</v>
      </c>
      <c r="F8" s="17" t="s">
        <v>325</v>
      </c>
    </row>
    <row r="9" spans="1:6" ht="15" customHeight="1" x14ac:dyDescent="0.3">
      <c r="A9" s="28" t="s">
        <v>333</v>
      </c>
      <c r="B9" s="28" t="s">
        <v>334</v>
      </c>
      <c r="C9" s="28" t="s">
        <v>335</v>
      </c>
      <c r="D9" s="28" t="s">
        <v>336</v>
      </c>
      <c r="E9" s="16" t="s">
        <v>337</v>
      </c>
      <c r="F9" s="17" t="s">
        <v>325</v>
      </c>
    </row>
    <row r="10" spans="1:6" ht="15" customHeight="1" x14ac:dyDescent="0.3">
      <c r="A10" s="28" t="s">
        <v>338</v>
      </c>
      <c r="B10" s="28" t="s">
        <v>339</v>
      </c>
      <c r="C10" s="28" t="s">
        <v>336</v>
      </c>
      <c r="D10" s="28" t="s">
        <v>340</v>
      </c>
      <c r="E10" s="16"/>
      <c r="F10" s="17" t="s">
        <v>325</v>
      </c>
    </row>
    <row r="11" spans="1:6" ht="15" customHeight="1" x14ac:dyDescent="0.3">
      <c r="A11" s="28" t="s">
        <v>341</v>
      </c>
      <c r="B11" s="28" t="s">
        <v>342</v>
      </c>
      <c r="C11" s="28" t="s">
        <v>343</v>
      </c>
      <c r="D11" s="28" t="s">
        <v>344</v>
      </c>
      <c r="E11" s="16"/>
      <c r="F11" s="17" t="s">
        <v>325</v>
      </c>
    </row>
    <row r="12" spans="1:6" ht="15" customHeight="1" x14ac:dyDescent="0.3">
      <c r="A12" s="28" t="s">
        <v>345</v>
      </c>
      <c r="B12" s="28" t="s">
        <v>346</v>
      </c>
      <c r="C12" s="28" t="s">
        <v>322</v>
      </c>
      <c r="D12" s="28" t="s">
        <v>347</v>
      </c>
      <c r="E12" s="16" t="s">
        <v>348</v>
      </c>
      <c r="F12" s="17" t="s">
        <v>325</v>
      </c>
    </row>
    <row r="14" spans="1:6" ht="15" customHeight="1" x14ac:dyDescent="0.3">
      <c r="A14" s="3" t="s">
        <v>349</v>
      </c>
      <c r="B14" s="3"/>
      <c r="C14" s="3"/>
      <c r="D14" s="3"/>
      <c r="E14" s="3"/>
      <c r="F14" s="3"/>
    </row>
    <row r="15" spans="1:6" ht="19.5" customHeight="1" x14ac:dyDescent="0.3">
      <c r="A15" s="1" t="s">
        <v>350</v>
      </c>
      <c r="B15" s="1"/>
      <c r="C15" s="1"/>
      <c r="D15" s="1"/>
      <c r="E15" s="1"/>
      <c r="F15" s="1"/>
    </row>
    <row r="16" spans="1:6" ht="21.75" customHeight="1" x14ac:dyDescent="0.3">
      <c r="A16" s="39" t="s">
        <v>351</v>
      </c>
      <c r="B16" s="39" t="s">
        <v>352</v>
      </c>
      <c r="C16" s="39" t="s">
        <v>318</v>
      </c>
      <c r="D16" s="39" t="s">
        <v>319</v>
      </c>
      <c r="E16" s="39" t="s">
        <v>9</v>
      </c>
      <c r="F16" s="39" t="s">
        <v>10</v>
      </c>
    </row>
    <row r="17" spans="1:6" ht="15" customHeight="1" x14ac:dyDescent="0.3">
      <c r="A17" s="28" t="s">
        <v>353</v>
      </c>
      <c r="B17" s="28" t="s">
        <v>354</v>
      </c>
      <c r="C17" s="28" t="s">
        <v>355</v>
      </c>
      <c r="D17" s="28" t="s">
        <v>356</v>
      </c>
      <c r="E17" s="16" t="s">
        <v>357</v>
      </c>
      <c r="F17" s="17" t="s">
        <v>325</v>
      </c>
    </row>
    <row r="18" spans="1:6" ht="15" customHeight="1" x14ac:dyDescent="0.3">
      <c r="A18" s="28" t="s">
        <v>358</v>
      </c>
      <c r="B18" s="28" t="s">
        <v>359</v>
      </c>
      <c r="C18" s="28" t="s">
        <v>336</v>
      </c>
      <c r="D18" s="28" t="s">
        <v>323</v>
      </c>
      <c r="E18" s="16"/>
      <c r="F18" s="17" t="s">
        <v>325</v>
      </c>
    </row>
    <row r="19" spans="1:6" ht="15" customHeight="1" x14ac:dyDescent="0.3">
      <c r="A19" s="28" t="s">
        <v>360</v>
      </c>
      <c r="B19" s="28" t="s">
        <v>361</v>
      </c>
      <c r="C19" s="28" t="s">
        <v>343</v>
      </c>
      <c r="D19" s="28" t="s">
        <v>340</v>
      </c>
      <c r="E19" s="16" t="s">
        <v>362</v>
      </c>
      <c r="F19" s="17" t="s">
        <v>325</v>
      </c>
    </row>
    <row r="20" spans="1:6" ht="15" customHeight="1" x14ac:dyDescent="0.3">
      <c r="A20" s="28" t="s">
        <v>363</v>
      </c>
      <c r="B20" s="28" t="s">
        <v>364</v>
      </c>
      <c r="C20" s="28" t="s">
        <v>322</v>
      </c>
      <c r="D20" s="28" t="s">
        <v>343</v>
      </c>
      <c r="E20" s="16" t="s">
        <v>365</v>
      </c>
      <c r="F20" s="17" t="s">
        <v>325</v>
      </c>
    </row>
    <row r="21" spans="1:6" ht="15" customHeight="1" x14ac:dyDescent="0.3">
      <c r="A21" s="28" t="s">
        <v>366</v>
      </c>
      <c r="B21" s="28" t="s">
        <v>367</v>
      </c>
      <c r="C21" s="28" t="s">
        <v>322</v>
      </c>
      <c r="D21" s="28" t="s">
        <v>368</v>
      </c>
      <c r="E21" s="16"/>
      <c r="F21" s="17" t="s">
        <v>325</v>
      </c>
    </row>
    <row r="22" spans="1:6" ht="15" customHeight="1" x14ac:dyDescent="0.3">
      <c r="A22" s="28" t="s">
        <v>369</v>
      </c>
      <c r="B22" s="28" t="s">
        <v>370</v>
      </c>
      <c r="C22" s="28" t="s">
        <v>322</v>
      </c>
      <c r="D22" s="28" t="s">
        <v>371</v>
      </c>
      <c r="E22" s="16"/>
      <c r="F22" s="17" t="s">
        <v>325</v>
      </c>
    </row>
    <row r="23" spans="1:6" ht="15" customHeight="1" x14ac:dyDescent="0.3">
      <c r="A23" s="28" t="s">
        <v>372</v>
      </c>
      <c r="B23" s="28" t="s">
        <v>373</v>
      </c>
      <c r="C23" s="28" t="s">
        <v>322</v>
      </c>
      <c r="D23" s="28" t="s">
        <v>371</v>
      </c>
      <c r="E23" s="16"/>
      <c r="F23" s="17" t="s">
        <v>325</v>
      </c>
    </row>
    <row r="25" spans="1:6" ht="15" customHeight="1" x14ac:dyDescent="0.3">
      <c r="A25" s="3" t="s">
        <v>374</v>
      </c>
      <c r="B25" s="3"/>
      <c r="C25" s="3"/>
      <c r="D25" s="3"/>
      <c r="E25" s="3"/>
      <c r="F25" s="3"/>
    </row>
    <row r="26" spans="1:6" ht="15" customHeight="1" x14ac:dyDescent="0.3">
      <c r="A26" s="39" t="s">
        <v>375</v>
      </c>
      <c r="B26" s="39" t="s">
        <v>376</v>
      </c>
      <c r="C26" s="39" t="s">
        <v>203</v>
      </c>
      <c r="D26" s="39" t="s">
        <v>377</v>
      </c>
      <c r="E26" s="39" t="s">
        <v>9</v>
      </c>
      <c r="F26" s="39" t="s">
        <v>10</v>
      </c>
    </row>
    <row r="27" spans="1:6" ht="21.75" customHeight="1" x14ac:dyDescent="0.3">
      <c r="A27" s="16" t="s">
        <v>378</v>
      </c>
      <c r="B27" s="46">
        <v>3.5</v>
      </c>
      <c r="C27" s="28" t="s">
        <v>379</v>
      </c>
      <c r="D27" s="16" t="s">
        <v>380</v>
      </c>
      <c r="E27" s="16" t="s">
        <v>381</v>
      </c>
      <c r="F27" s="17" t="s">
        <v>325</v>
      </c>
    </row>
    <row r="29" spans="1:6" ht="34.5" customHeight="1" x14ac:dyDescent="0.3">
      <c r="A29" s="8" t="s">
        <v>382</v>
      </c>
      <c r="B29" s="8"/>
      <c r="C29" s="8"/>
      <c r="D29" s="8"/>
      <c r="E29" s="8"/>
      <c r="F29" s="8"/>
    </row>
  </sheetData>
  <mergeCells count="8">
    <mergeCell ref="A15:F15"/>
    <mergeCell ref="A25:F25"/>
    <mergeCell ref="A29:F29"/>
    <mergeCell ref="A1:F1"/>
    <mergeCell ref="A2:F2"/>
    <mergeCell ref="A3:F3"/>
    <mergeCell ref="A4:F4"/>
    <mergeCell ref="A14:F14"/>
  </mergeCells>
  <pageMargins left="0.75" right="0.75" top="1" bottom="1" header="0.511811023622047" footer="0.511811023622047"/>
  <pageSetup paperSize="9"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2FB8EB67883F9C4AA4534F5269849BBD" ma:contentTypeVersion="10" ma:contentTypeDescription="Crear nuevo documento." ma:contentTypeScope="" ma:versionID="2546235542583e8b2ff2cc2f7947903c">
  <xsd:schema xmlns:xsd="http://www.w3.org/2001/XMLSchema" xmlns:xs="http://www.w3.org/2001/XMLSchema" xmlns:p="http://schemas.microsoft.com/office/2006/metadata/properties" xmlns:ns2="ee5d6ee9-6b90-4973-875c-30ee5d95ff57" xmlns:ns3="a2e62541-ed63-42e0-be49-5b4b52f4e389" targetNamespace="http://schemas.microsoft.com/office/2006/metadata/properties" ma:root="true" ma:fieldsID="9a1af3dc47ff3566ad41f62fd65c9ee6" ns2:_="" ns3:_="">
    <xsd:import namespace="ee5d6ee9-6b90-4973-875c-30ee5d95ff57"/>
    <xsd:import namespace="a2e62541-ed63-42e0-be49-5b4b52f4e38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e5d6ee9-6b90-4973-875c-30ee5d95ff5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71f7bd95-1200-4052-9a4e-dfdf006e181b"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2e62541-ed63-42e0-be49-5b4b52f4e389"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5abaf6c7-7496-4516-911a-634272e88661}" ma:internalName="TaxCatchAll" ma:showField="CatchAllData" ma:web="a2e62541-ed63-42e0-be49-5b4b52f4e38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ee5d6ee9-6b90-4973-875c-30ee5d95ff57">
      <Terms xmlns="http://schemas.microsoft.com/office/infopath/2007/PartnerControls"/>
    </lcf76f155ced4ddcb4097134ff3c332f>
    <TaxCatchAll xmlns="a2e62541-ed63-42e0-be49-5b4b52f4e389" xsi:nil="true"/>
  </documentManagement>
</p:properties>
</file>

<file path=customXml/itemProps1.xml><?xml version="1.0" encoding="utf-8"?>
<ds:datastoreItem xmlns:ds="http://schemas.openxmlformats.org/officeDocument/2006/customXml" ds:itemID="{1E3A4ABF-8B34-4B03-81F4-7ED34A65CE23}">
  <ds:schemaRefs>
    <ds:schemaRef ds:uri="http://schemas.microsoft.com/sharepoint/v3/contenttype/forms"/>
  </ds:schemaRefs>
</ds:datastoreItem>
</file>

<file path=customXml/itemProps2.xml><?xml version="1.0" encoding="utf-8"?>
<ds:datastoreItem xmlns:ds="http://schemas.openxmlformats.org/officeDocument/2006/customXml" ds:itemID="{78BD3311-46A0-4B0E-BB42-9F409F7E3C3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e5d6ee9-6b90-4973-875c-30ee5d95ff57"/>
    <ds:schemaRef ds:uri="a2e62541-ed63-42e0-be49-5b4b52f4e38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CB3E876-E28C-4035-84C0-F675B1143191}">
  <ds:schemaRefs>
    <ds:schemaRef ds:uri="http://schemas.microsoft.com/office/2006/metadata/properties"/>
    <ds:schemaRef ds:uri="http://schemas.microsoft.com/office/infopath/2007/PartnerControls"/>
    <ds:schemaRef ds:uri="ee5d6ee9-6b90-4973-875c-30ee5d95ff57"/>
    <ds:schemaRef ds:uri="a2e62541-ed63-42e0-be49-5b4b52f4e389"/>
  </ds:schemaRefs>
</ds:datastoreItem>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9</vt:i4>
      </vt:variant>
    </vt:vector>
  </HeadingPairs>
  <TitlesOfParts>
    <vt:vector size="9" baseType="lpstr">
      <vt:lpstr>1_Historical_Generation</vt:lpstr>
      <vt:lpstr>2_Capacity_Factors</vt:lpstr>
      <vt:lpstr>3_Demand</vt:lpstr>
      <vt:lpstr>4_Seasonality</vt:lpstr>
      <vt:lpstr>5_System_Overview</vt:lpstr>
      <vt:lpstr>6_IRENA_Capacity_Factors</vt:lpstr>
      <vt:lpstr>7_IRENA_Historical_Production</vt:lpstr>
      <vt:lpstr>8_IRENA_Demand</vt:lpstr>
      <vt:lpstr>9_IRENA_RE_Resource_Potential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description/>
  <cp:revision>0</cp:revision>
  <dcterms:created xsi:type="dcterms:W3CDTF">2026-03-10T00:09:15Z</dcterms:created>
  <dcterms:modified xsi:type="dcterms:W3CDTF">2026-03-12T17:20:25Z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0x0101002FB8EB67883F9C4AA4534F5269849BBD</vt:lpwstr>
  </property>
  <property fmtid="{D5CDD505-2E9C-101B-9397-08002B2CF9AE}" pid="3" name="MediaServiceImageTags">
    <vt:lpwstr/>
  </property>
</Properties>
</file>